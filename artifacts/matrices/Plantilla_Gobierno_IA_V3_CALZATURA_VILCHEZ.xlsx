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OS" sheetId="1" state="visible" r:id="rId1"/>
    <sheet xmlns:r="http://schemas.openxmlformats.org/officeDocument/2006/relationships" name="ACTIVIDADES_BPMN" sheetId="2" state="visible" r:id="rId2"/>
    <sheet xmlns:r="http://schemas.openxmlformats.org/officeDocument/2006/relationships" name="FLUJO_BPMN" sheetId="3" state="visible" r:id="rId3"/>
    <sheet xmlns:r="http://schemas.openxmlformats.org/officeDocument/2006/relationships" name="REQUERIMIENTOS" sheetId="4" state="visible" r:id="rId4"/>
    <sheet xmlns:r="http://schemas.openxmlformats.org/officeDocument/2006/relationships" name="CONTROL_VERSIONES" sheetId="5" state="visible" r:id="rId5"/>
    <sheet xmlns:r="http://schemas.openxmlformats.org/officeDocument/2006/relationships" name="AI_DLC" sheetId="6" state="visible" r:id="rId6"/>
    <sheet xmlns:r="http://schemas.openxmlformats.org/officeDocument/2006/relationships" name="DEPENDENCIAS" sheetId="7" state="visible" r:id="rId7"/>
    <sheet xmlns:r="http://schemas.openxmlformats.org/officeDocument/2006/relationships" name="MERGES" sheetId="8" state="visible" r:id="rId8"/>
    <sheet xmlns:r="http://schemas.openxmlformats.org/officeDocument/2006/relationships" name="HISTORIAL" sheetId="9" state="visible" r:id="rId9"/>
    <sheet xmlns:r="http://schemas.openxmlformats.org/officeDocument/2006/relationships" name="ARTEFACTOS" sheetId="10" state="visible" r:id="rId10"/>
    <sheet xmlns:r="http://schemas.openxmlformats.org/officeDocument/2006/relationships" name="PMV" sheetId="11" state="visible" r:id="rId11"/>
    <sheet xmlns:r="http://schemas.openxmlformats.org/officeDocument/2006/relationships" name="DASHBOARD" sheetId="12" state="visible" r:id="rId12"/>
    <sheet xmlns:r="http://schemas.openxmlformats.org/officeDocument/2006/relationships" name="METADATA" sheetId="13" state="visible" r:id="rId13"/>
    <sheet xmlns:r="http://schemas.openxmlformats.org/officeDocument/2006/relationships" name="RESPALDO_Q1" sheetId="14" state="visible" r:id="rId14"/>
    <sheet xmlns:r="http://schemas.openxmlformats.org/officeDocument/2006/relationships" name="CONTROLES_ISO42001" sheetId="15" state="visible" r:id="rId15"/>
    <sheet xmlns:r="http://schemas.openxmlformats.org/officeDocument/2006/relationships" name="RIESGOS_IA" sheetId="16" state="visible" r:id="rId16"/>
    <sheet xmlns:r="http://schemas.openxmlformats.org/officeDocument/2006/relationships" name="MODEL_CARD" sheetId="17" state="visible" r:id="rId17"/>
    <sheet xmlns:r="http://schemas.openxmlformats.org/officeDocument/2006/relationships" name="VERSIONES_WEB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sz val="9"/>
    </font>
    <font>
      <name val="Arial"/>
      <b val="1"/>
      <color rgb="00FFFFFF"/>
      <sz val="10"/>
    </font>
    <font>
      <name val="Arial"/>
      <b val="1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1F4E79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22" customWidth="1" min="4" max="4"/>
    <col width="14" customWidth="1" min="5" max="5"/>
    <col width="12" customWidth="1" min="6" max="6"/>
    <col width="12" customWidth="1" min="7" max="7"/>
    <col width="52" customWidth="1" min="8" max="8"/>
  </cols>
  <sheetData>
    <row r="1" ht="36" customHeight="1">
      <c r="A1" s="2" t="inlineStr">
        <is>
          <t>ID_PROCESO</t>
        </is>
      </c>
      <c r="B1" s="2" t="inlineStr">
        <is>
          <t>TIPO_PROCESO</t>
        </is>
      </c>
      <c r="C1" s="2" t="inlineStr">
        <is>
          <t>NOMBRE_PROCESO</t>
        </is>
      </c>
      <c r="D1" s="2" t="inlineStr">
        <is>
          <t>RAMA_GIT</t>
        </is>
      </c>
      <c r="E1" s="2" t="inlineStr">
        <is>
          <t>RESPONSABLE</t>
        </is>
      </c>
      <c r="F1" s="2" t="inlineStr">
        <is>
          <t>ESTADO</t>
        </is>
      </c>
      <c r="G1" s="2" t="inlineStr">
        <is>
          <t>VERSION_ACTUAL</t>
        </is>
      </c>
      <c r="H1" s="2" t="inlineStr">
        <is>
          <t>OBSERVACIONES</t>
        </is>
      </c>
    </row>
    <row r="2" ht="42" customHeight="1">
      <c r="A2" s="3" t="inlineStr">
        <is>
          <t>MP-01</t>
        </is>
      </c>
      <c r="B2" s="3" t="inlineStr">
        <is>
          <t>Estratégico</t>
        </is>
      </c>
      <c r="C2" s="3" t="inlineStr">
        <is>
          <t>Dirección comercial y alcance del sistema</t>
        </is>
      </c>
      <c r="D2" s="3" t="inlineStr">
        <is>
          <t>feature/alcance-sistema</t>
        </is>
      </c>
      <c r="E2" s="3" t="inlineStr">
        <is>
          <t>Gestión</t>
        </is>
      </c>
      <c r="F2" s="3" t="inlineStr">
        <is>
          <t>PRODUCCION</t>
        </is>
      </c>
      <c r="G2" s="3" t="inlineStr">
        <is>
          <t>1.9.0</t>
        </is>
      </c>
      <c r="H2" s="3" t="inlineStr">
        <is>
          <t>Web 1.9.0 (2026-06-16). Alcance SRS + trazabilidad ISO 25000 y documentación tesis integrada.</t>
        </is>
      </c>
    </row>
    <row r="3" ht="42" customHeight="1">
      <c r="A3" s="4" t="inlineStr">
        <is>
          <t>MP-02</t>
        </is>
      </c>
      <c r="B3" s="4" t="inlineStr">
        <is>
          <t>Misional</t>
        </is>
      </c>
      <c r="C3" s="4" t="inlineStr">
        <is>
          <t>Experiencia pública y captación digital</t>
        </is>
      </c>
      <c r="D3" s="4" t="inlineStr">
        <is>
          <t>feature/experiencia-publica</t>
        </is>
      </c>
      <c r="E3" s="4" t="inlineStr">
        <is>
          <t>Operaciones</t>
        </is>
      </c>
      <c r="F3" s="4" t="inlineStr">
        <is>
          <t>PRODUCCION</t>
        </is>
      </c>
      <c r="G3" s="4" t="inlineStr">
        <is>
          <t>1.5.0</t>
        </is>
      </c>
      <c r="H3" s="4" t="inlineStr">
        <is>
          <t>Web 1.5.0 (2026-05-26). Home, landings campañas y navegación pública estable.</t>
        </is>
      </c>
    </row>
    <row r="4" ht="42" customHeight="1">
      <c r="A4" s="3" t="inlineStr">
        <is>
          <t>MP-03</t>
        </is>
      </c>
      <c r="B4" s="3" t="inlineStr">
        <is>
          <t>Misional</t>
        </is>
      </c>
      <c r="C4" s="3" t="inlineStr">
        <is>
          <t>Gestión del catálogo comercial</t>
        </is>
      </c>
      <c r="D4" s="3" t="inlineStr">
        <is>
          <t>feature/catalogo</t>
        </is>
      </c>
      <c r="E4" s="3" t="inlineStr">
        <is>
          <t>Operaciones</t>
        </is>
      </c>
      <c r="F4" s="3" t="inlineStr">
        <is>
          <t>PRODUCCION</t>
        </is>
      </c>
      <c r="G4" s="3" t="inlineStr">
        <is>
          <t>1.7.0</t>
        </is>
      </c>
      <c r="H4" s="3" t="inlineStr">
        <is>
          <t>Web 1.7.0 (2026-06-08). Catálogo, variantes, imágenes Cloudinary, campaña en productos.</t>
        </is>
      </c>
    </row>
    <row r="5" ht="42" customHeight="1">
      <c r="A5" s="4" t="inlineStr">
        <is>
          <t>MP-04</t>
        </is>
      </c>
      <c r="B5" s="4" t="inlineStr">
        <is>
          <t>Misional</t>
        </is>
      </c>
      <c r="C5" s="4" t="inlineStr">
        <is>
          <t>Gestión de carrito y compra web</t>
        </is>
      </c>
      <c r="D5" s="4" t="inlineStr">
        <is>
          <t>feature/carrito-checkout</t>
        </is>
      </c>
      <c r="E5" s="4" t="inlineStr">
        <is>
          <t>Operaciones</t>
        </is>
      </c>
      <c r="F5" s="4" t="inlineStr">
        <is>
          <t>PRODUCCION</t>
        </is>
      </c>
      <c r="G5" s="4" t="inlineStr">
        <is>
          <t>1.8.0</t>
        </is>
      </c>
      <c r="H5" s="4" t="inlineStr">
        <is>
          <t>Web 1.8.0 (2026-06-12). Carrito, checkout Stripe/COD, entrega geocodificada ORS.</t>
        </is>
      </c>
    </row>
    <row r="6" ht="42" customHeight="1">
      <c r="A6" s="3" t="inlineStr">
        <is>
          <t>MP-05</t>
        </is>
      </c>
      <c r="B6" s="3" t="inlineStr">
        <is>
          <t>Misional</t>
        </is>
      </c>
      <c r="C6" s="3" t="inlineStr">
        <is>
          <t>Gestión de pedidos y posventa</t>
        </is>
      </c>
      <c r="D6" s="3" t="inlineStr">
        <is>
          <t>feature/pedidos</t>
        </is>
      </c>
      <c r="E6" s="3" t="inlineStr">
        <is>
          <t>Operaciones</t>
        </is>
      </c>
      <c r="F6" s="3" t="inlineStr">
        <is>
          <t>PRODUCCION</t>
        </is>
      </c>
      <c r="G6" s="3" t="inlineStr">
        <is>
          <t>1.9.0</t>
        </is>
      </c>
      <c r="H6" s="3" t="inlineStr">
        <is>
          <t>Web 1.9.0 (2026-06-16). Pedidos cliente/admin, mapa, PKCS#7, búsqueda y paginación.</t>
        </is>
      </c>
    </row>
    <row r="7" ht="42" customHeight="1">
      <c r="A7" s="4" t="inlineStr">
        <is>
          <t>MP-06</t>
        </is>
      </c>
      <c r="B7" s="4" t="inlineStr">
        <is>
          <t>Misional</t>
        </is>
      </c>
      <c r="C7" s="4" t="inlineStr">
        <is>
          <t>Gestión de identidad, clientes y privacidad</t>
        </is>
      </c>
      <c r="D7" s="4" t="inlineStr">
        <is>
          <t>feature/clientes</t>
        </is>
      </c>
      <c r="E7" s="4" t="inlineStr">
        <is>
          <t>Operaciones</t>
        </is>
      </c>
      <c r="F7" s="4" t="inlineStr">
        <is>
          <t>PRODUCCION</t>
        </is>
      </c>
      <c r="G7" s="4" t="inlineStr">
        <is>
          <t>1.6.0</t>
        </is>
      </c>
      <c r="H7" s="4" t="inlineStr">
        <is>
          <t>Web 1.6.0 (2026-05-31). Registro, perfil, favoritos, DNI pgcrypto, App Check.</t>
        </is>
      </c>
    </row>
    <row r="8" ht="42" customHeight="1">
      <c r="A8" s="3" t="inlineStr">
        <is>
          <t>MP-07</t>
        </is>
      </c>
      <c r="B8" s="3" t="inlineStr">
        <is>
          <t>Misional</t>
        </is>
      </c>
      <c r="C8" s="3" t="inlineStr">
        <is>
          <t>Administración comercial</t>
        </is>
      </c>
      <c r="D8" s="3" t="inlineStr">
        <is>
          <t>feature/admin-comercial</t>
        </is>
      </c>
      <c r="E8" s="3" t="inlineStr">
        <is>
          <t>Gestión</t>
        </is>
      </c>
      <c r="F8" s="3" t="inlineStr">
        <is>
          <t>PRODUCCION</t>
        </is>
      </c>
      <c r="G8" s="3" t="inlineStr">
        <is>
          <t>1.8.0</t>
        </is>
      </c>
      <c r="H8" s="3" t="inlineStr">
        <is>
          <t>Web 1.8.0 (2026-06-12). Dashboard admin, productos, stock, finanzas, fabricantes BFF.</t>
        </is>
      </c>
    </row>
    <row r="9" ht="42" customHeight="1">
      <c r="A9" s="4" t="inlineStr">
        <is>
          <t>MP-08</t>
        </is>
      </c>
      <c r="B9" s="4" t="inlineStr">
        <is>
          <t>Misional</t>
        </is>
      </c>
      <c r="C9" s="4" t="inlineStr">
        <is>
          <t>Gestión de ventas físicas y operación de tienda</t>
        </is>
      </c>
      <c r="D9" s="4" t="inlineStr">
        <is>
          <t>feature/ventas-fisicas</t>
        </is>
      </c>
      <c r="E9" s="4" t="inlineStr">
        <is>
          <t>Operaciones</t>
        </is>
      </c>
      <c r="F9" s="4" t="inlineStr">
        <is>
          <t>PRODUCCION</t>
        </is>
      </c>
      <c r="G9" s="4" t="inlineStr">
        <is>
          <t>1.3.0</t>
        </is>
      </c>
      <c r="H9" s="4" t="inlineStr">
        <is>
          <t>Web 1.3.0 (2026-05-19). Ventas diarias, devoluciones, panel staff/trabajador.</t>
        </is>
      </c>
    </row>
    <row r="10" ht="42" customHeight="1">
      <c r="A10" s="3" t="inlineStr">
        <is>
          <t>MP-09</t>
        </is>
      </c>
      <c r="B10" s="3" t="inlineStr">
        <is>
          <t>Apoyo</t>
        </is>
      </c>
      <c r="C10" s="3" t="inlineStr">
        <is>
          <t>Gestión de datos Excel e importación/exportación</t>
        </is>
      </c>
      <c r="D10" s="3" t="inlineStr">
        <is>
          <t>feature/admin-datos</t>
        </is>
      </c>
      <c r="E10" s="3" t="inlineStr">
        <is>
          <t>Soporte</t>
        </is>
      </c>
      <c r="F10" s="3" t="inlineStr">
        <is>
          <t>PRODUCCION</t>
        </is>
      </c>
      <c r="G10" s="3" t="inlineStr">
        <is>
          <t>1.2.0</t>
        </is>
      </c>
      <c r="H10" s="3" t="inlineStr">
        <is>
          <t>Web 1.2.0 (2026-05-16). Import/export Excel, reglas comerciales, sanitización.</t>
        </is>
      </c>
    </row>
    <row r="11" ht="42" customHeight="1">
      <c r="A11" s="4" t="inlineStr">
        <is>
          <t>MP-10</t>
        </is>
      </c>
      <c r="B11" s="4" t="inlineStr">
        <is>
          <t>Apoyo</t>
        </is>
      </c>
      <c r="C11" s="4" t="inlineStr">
        <is>
          <t>Seguridad, auditoría y cumplimiento</t>
        </is>
      </c>
      <c r="D11" s="4" t="inlineStr">
        <is>
          <t>feature/seguridad</t>
        </is>
      </c>
      <c r="E11" s="4" t="inlineStr">
        <is>
          <t>Tecnología</t>
        </is>
      </c>
      <c r="F11" s="4" t="inlineStr">
        <is>
          <t>PRODUCCION</t>
        </is>
      </c>
      <c r="G11" s="4" t="inlineStr">
        <is>
          <t>1.9.0</t>
        </is>
      </c>
      <c r="H11" s="4" t="inlineStr">
        <is>
          <t>Web 1.9.0 (2026-06-16). RLS, BFF fail-closed, ZAP prod, rate limit, auditoría PII.</t>
        </is>
      </c>
    </row>
    <row r="12" ht="42" customHeight="1">
      <c r="A12" s="3" t="inlineStr">
        <is>
          <t>MP-11</t>
        </is>
      </c>
      <c r="B12" s="3" t="inlineStr">
        <is>
          <t>Apoyo</t>
        </is>
      </c>
      <c r="C12" s="3" t="inlineStr">
        <is>
          <t>Base de datos y control de acceso Supabase</t>
        </is>
      </c>
      <c r="D12" s="3" t="inlineStr">
        <is>
          <t>feature/supabase-rls</t>
        </is>
      </c>
      <c r="E12" s="3" t="inlineStr">
        <is>
          <t>Tecnología</t>
        </is>
      </c>
      <c r="F12" s="3" t="inlineStr">
        <is>
          <t>PRODUCCION</t>
        </is>
      </c>
      <c r="G12" s="3" t="inlineStr">
        <is>
          <t>1.9.0</t>
        </is>
      </c>
      <c r="H12" s="3" t="inlineStr">
        <is>
          <t>Web 1.9.0 (2026-06-16). 64 migraciones, qc_* RLS, anti-regresión, modelo_estado.</t>
        </is>
      </c>
    </row>
    <row r="13" ht="42" customHeight="1">
      <c r="A13" s="4" t="inlineStr">
        <is>
          <t>MP-12</t>
        </is>
      </c>
      <c r="B13" s="4" t="inlineStr">
        <is>
          <t>Misional</t>
        </is>
      </c>
      <c r="C13" s="4" t="inlineStr">
        <is>
          <t>Analítica, IA y riesgo empresarial (IRE)</t>
        </is>
      </c>
      <c r="D13" s="4" t="inlineStr">
        <is>
          <t>feature/ia-ire</t>
        </is>
      </c>
      <c r="E13" s="4" t="inlineStr">
        <is>
          <t>Analítica</t>
        </is>
      </c>
      <c r="F13" s="4" t="inlineStr">
        <is>
          <t>PRODUCCION</t>
        </is>
      </c>
      <c r="G13" s="4" t="inlineStr">
        <is>
          <t>1.7.0</t>
        </is>
      </c>
      <c r="H13" s="4" t="inlineStr">
        <is>
          <t>Web 1.7.0 (2026-06-08). IRE, Random Forest, campañas IA, backtest gate, Render. Gobierno IA plantilla 1.2.</t>
        </is>
      </c>
    </row>
    <row r="14" ht="42" customHeight="1">
      <c r="A14" s="3" t="inlineStr">
        <is>
          <t>MP-13</t>
        </is>
      </c>
      <c r="B14" s="3" t="inlineStr">
        <is>
          <t>Apoyo</t>
        </is>
      </c>
      <c r="C14" s="3" t="inlineStr">
        <is>
          <t>DevOps, pruebas y continuidad</t>
        </is>
      </c>
      <c r="D14" s="3" t="inlineStr">
        <is>
          <t>feature/devops</t>
        </is>
      </c>
      <c r="E14" s="3" t="inlineStr">
        <is>
          <t>Tecnología</t>
        </is>
      </c>
      <c r="F14" s="3" t="inlineStr">
        <is>
          <t>PRODUCCION</t>
        </is>
      </c>
      <c r="G14" s="3" t="inlineStr">
        <is>
          <t>1.9.0</t>
        </is>
      </c>
      <c r="H14" s="3" t="inlineStr">
        <is>
          <t>Web 1.9.0 (2026-06-16). CI/CD, Sonar, k6 mixed1000, restore drill, gates ISO.</t>
        </is>
      </c>
    </row>
    <row r="15" ht="42" customHeight="1">
      <c r="A15" s="4" t="inlineStr">
        <is>
          <t>MP-14</t>
        </is>
      </c>
      <c r="B15" s="4" t="inlineStr">
        <is>
          <t>Misional</t>
        </is>
      </c>
      <c r="C15" s="4" t="inlineStr">
        <is>
          <t>Campañas, marketing y trazabilidad comercial</t>
        </is>
      </c>
      <c r="D15" s="4" t="inlineStr">
        <is>
          <t>feature/campanas</t>
        </is>
      </c>
      <c r="E15" s="4" t="inlineStr">
        <is>
          <t>Operaciones</t>
        </is>
      </c>
      <c r="F15" s="4" t="inlineStr">
        <is>
          <t>PRODUCCION</t>
        </is>
      </c>
      <c r="G15" s="4" t="inlineStr">
        <is>
          <t>1.7.0</t>
        </is>
      </c>
      <c r="H15" s="4" t="inlineStr">
        <is>
          <t>Web 1.7.0 (2026-06-08). Landings campaña, detección IA, trazabilidad comercial.</t>
        </is>
      </c>
    </row>
    <row r="16" ht="42" customHeight="1">
      <c r="A16" s="3" t="inlineStr">
        <is>
          <t>MP-15</t>
        </is>
      </c>
      <c r="B16" s="3" t="inlineStr">
        <is>
          <t>Apoyo</t>
        </is>
      </c>
      <c r="C16" s="3" t="inlineStr">
        <is>
          <t>Atención al consumidor y libro de reclamaciones</t>
        </is>
      </c>
      <c r="D16" s="3" t="inlineStr">
        <is>
          <t>feature/libro-reclamaciones</t>
        </is>
      </c>
      <c r="E16" s="3" t="inlineStr">
        <is>
          <t>Soporte</t>
        </is>
      </c>
      <c r="F16" s="3" t="inlineStr">
        <is>
          <t>PRODUCCION</t>
        </is>
      </c>
      <c r="G16" s="3" t="inlineStr">
        <is>
          <t>1.5.0</t>
        </is>
      </c>
      <c r="H16" s="3" t="inlineStr">
        <is>
          <t>Web 1.5.0 (2026-05-26). Libro reclamaciones virtual implementado.</t>
        </is>
      </c>
    </row>
    <row r="17" ht="42" customHeight="1">
      <c r="A17" s="4" t="inlineStr">
        <is>
          <t>MP-16</t>
        </is>
      </c>
      <c r="B17" s="4" t="inlineStr">
        <is>
          <t>Apoyo</t>
        </is>
      </c>
      <c r="C17" s="4" t="inlineStr">
        <is>
          <t>Consentimiento, políticas y cumplimiento legal</t>
        </is>
      </c>
      <c r="D17" s="4" t="inlineStr">
        <is>
          <t>feature/legal</t>
        </is>
      </c>
      <c r="E17" s="4" t="inlineStr">
        <is>
          <t>Soporte</t>
        </is>
      </c>
      <c r="F17" s="4" t="inlineStr">
        <is>
          <t>PRODUCCION</t>
        </is>
      </c>
      <c r="G17" s="4" t="inlineStr">
        <is>
          <t>1.5.0</t>
        </is>
      </c>
      <c r="H17" s="4" t="inlineStr">
        <is>
          <t>Web 1.5.0 (2026-05-26). Política privacidad, cookies, cumplimiento Ley 29733.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2" customWidth="1" min="3" max="3"/>
    <col width="18" customWidth="1" min="4" max="4"/>
    <col width="12" customWidth="1" min="5" max="5"/>
    <col width="58" customWidth="1" min="6" max="6"/>
    <col width="24" customWidth="1" min="7" max="7"/>
  </cols>
  <sheetData>
    <row r="1" ht="36" customHeight="1">
      <c r="A1" s="2" t="inlineStr">
        <is>
          <t>ID_BOLT</t>
        </is>
      </c>
      <c r="B1" s="2" t="inlineStr">
        <is>
          <t>ID_PROCESO</t>
        </is>
      </c>
      <c r="C1" s="2" t="inlineStr">
        <is>
          <t>ACTIVIDAD_BPMN</t>
        </is>
      </c>
      <c r="D1" s="2" t="inlineStr">
        <is>
          <t>ROL_RESPONSABLE</t>
        </is>
      </c>
      <c r="E1" s="2" t="inlineStr">
        <is>
          <t>TIPO_ACTIVIDAD</t>
        </is>
      </c>
      <c r="F1" s="2" t="inlineStr">
        <is>
          <t>DESCRIPCION</t>
        </is>
      </c>
      <c r="G1" s="2" t="inlineStr">
        <is>
          <t>MODULO_AFECTADO</t>
        </is>
      </c>
    </row>
    <row r="2" ht="42" customHeight="1">
      <c r="A2" s="3" t="inlineStr">
        <is>
          <t>BOLT-WEB-001</t>
        </is>
      </c>
      <c r="B2" s="3" t="inlineStr">
        <is>
          <t>MP-01</t>
        </is>
      </c>
      <c r="C2" s="3" t="inlineStr">
        <is>
          <t>Implementar Sistema web / arquitectura general (web 1.9.0)</t>
        </is>
      </c>
      <c r="D2" s="3" t="inlineStr">
        <is>
          <t>Desarrollador</t>
        </is>
      </c>
      <c r="E2" s="3" t="inlineStr">
        <is>
          <t>Tarea</t>
        </is>
      </c>
      <c r="F2" s="3" t="inlineStr">
        <is>
          <t>Definir el sistema web de comercio electrónico y gestión administrativa de Calzatura Vilchez, incluyendo tienda pública, catálogo, carrito, checkout, pedidos, ventas físicas, Excel, auditoría, IA, BFF, Supabase, Docker, CI/CD y seguridad. | Iteración 1.9.0 (2026-06-16): Alcance SRS + trazabilidad ISO 25000 y documentación tesis integrada.</t>
        </is>
      </c>
      <c r="G2" s="3" t="inlineStr">
        <is>
          <t>Sistema web / arquitectura general</t>
        </is>
      </c>
    </row>
    <row r="3" ht="42" customHeight="1">
      <c r="A3" s="4" t="inlineStr">
        <is>
          <t>BOLT-WEB-002</t>
        </is>
      </c>
      <c r="B3" s="4" t="inlineStr">
        <is>
          <t>MP-02</t>
        </is>
      </c>
      <c r="C3" s="4" t="inlineStr">
        <is>
          <t>Implementar Público / Home (web 1.5.0)</t>
        </is>
      </c>
      <c r="D3" s="4" t="inlineStr">
        <is>
          <t>Desarrollador</t>
        </is>
      </c>
      <c r="E3" s="4" t="inlineStr">
        <is>
          <t>Tarea</t>
        </is>
      </c>
      <c r="F3" s="4" t="inlineStr">
        <is>
          <t>Implementar una página de inicio comercial con hero, promociones, imágenes, productos destacados y navegación hacia el catálogo. | Iteración 1.5.0 (2026-05-26): Home, landings campañas y navegación pública estable.</t>
        </is>
      </c>
      <c r="G3" s="4" t="inlineStr">
        <is>
          <t>Público / Home</t>
        </is>
      </c>
    </row>
    <row r="4" ht="42" customHeight="1">
      <c r="A4" s="3" t="inlineStr">
        <is>
          <t>BOLT-WEB-003</t>
        </is>
      </c>
      <c r="B4" s="3" t="inlineStr">
        <is>
          <t>MP-03</t>
        </is>
      </c>
      <c r="C4" s="3" t="inlineStr">
        <is>
          <t>Implementar Catálogo / Productos (web 1.7.0)</t>
        </is>
      </c>
      <c r="D4" s="3" t="inlineStr">
        <is>
          <t>Desarrollador</t>
        </is>
      </c>
      <c r="E4" s="3" t="inlineStr">
        <is>
          <t>Tarea</t>
        </is>
      </c>
      <c r="F4" s="3" t="inlineStr">
        <is>
          <t>Permitir que el cliente explore productos activos, filtre por criterios comerciales y navegue al detalle del calzado. | Iteración 1.7.0 (2026-06-08): Catálogo, variantes, imágenes Cloudinary, campaña en productos.</t>
        </is>
      </c>
      <c r="G4" s="3" t="inlineStr">
        <is>
          <t>Catálogo / Productos</t>
        </is>
      </c>
    </row>
    <row r="5" ht="42" customHeight="1">
      <c r="A5" s="4" t="inlineStr">
        <is>
          <t>BOLT-WEB-004</t>
        </is>
      </c>
      <c r="B5" s="4" t="inlineStr">
        <is>
          <t>MP-03</t>
        </is>
      </c>
      <c r="C5" s="4" t="inlineStr">
        <is>
          <t>Implementar Catálogo / ProductCard (web 1.7.0)</t>
        </is>
      </c>
      <c r="D5" s="4" t="inlineStr">
        <is>
          <t>Desarrollador</t>
        </is>
      </c>
      <c r="E5" s="4" t="inlineStr">
        <is>
          <t>Tarea</t>
        </is>
      </c>
      <c r="F5" s="4" t="inlineStr">
        <is>
          <t>Corregir la tarjeta de producto para que no tenga controles interactivos anidados y permita selección accesible de talla, favorito y detalle. | Iteración 1.7.0 (2026-06-08): Catálogo, variantes, imágenes Cloudinary, campaña en productos.</t>
        </is>
      </c>
      <c r="G5" s="4" t="inlineStr">
        <is>
          <t>Catálogo / ProductCard</t>
        </is>
      </c>
    </row>
    <row r="6" ht="42" customHeight="1">
      <c r="A6" s="3" t="inlineStr">
        <is>
          <t>BOLT-WEB-005</t>
        </is>
      </c>
      <c r="B6" s="3" t="inlineStr">
        <is>
          <t>MP-04</t>
        </is>
      </c>
      <c r="C6" s="3" t="inlineStr">
        <is>
          <t>Implementar Carrito (web 1.8.0)</t>
        </is>
      </c>
      <c r="D6" s="3" t="inlineStr">
        <is>
          <t>Desarrollador</t>
        </is>
      </c>
      <c r="E6" s="3" t="inlineStr">
        <is>
          <t>Tarea</t>
        </is>
      </c>
      <c r="F6" s="3" t="inlineStr">
        <is>
          <t>Gestionar carrito de compra por sesión, evitando persistencia innecesaria de preferencias en equipos compartidos. | Iteración 1.8.0 (2026-06-12): Carrito, checkout Stripe/COD, entrega geocodificada ORS.</t>
        </is>
      </c>
      <c r="G6" s="3" t="inlineStr">
        <is>
          <t>Carrito</t>
        </is>
      </c>
    </row>
    <row r="7" ht="42" customHeight="1">
      <c r="A7" s="4" t="inlineStr">
        <is>
          <t>BOLT-WEB-006</t>
        </is>
      </c>
      <c r="B7" s="4" t="inlineStr">
        <is>
          <t>MP-04</t>
        </is>
      </c>
      <c r="C7" s="4" t="inlineStr">
        <is>
          <t>Implementar Checkout (web 1.8.0)</t>
        </is>
      </c>
      <c r="D7" s="4" t="inlineStr">
        <is>
          <t>Desarrollador</t>
        </is>
      </c>
      <c r="E7" s="4" t="inlineStr">
        <is>
          <t>Tarea</t>
        </is>
      </c>
      <c r="F7" s="4" t="inlineStr">
        <is>
          <t>Confirmar pedidos mediante checkout con validación de entrega, stock, precio, método de pago e idempotencia. | Iteración 1.8.0 (2026-06-12): Carrito, checkout Stripe/COD, entrega geocodificada ORS.</t>
        </is>
      </c>
      <c r="G7" s="4" t="inlineStr">
        <is>
          <t>Checkout</t>
        </is>
      </c>
    </row>
    <row r="8" ht="42" customHeight="1">
      <c r="A8" s="3" t="inlineStr">
        <is>
          <t>BOLT-WEB-007</t>
        </is>
      </c>
      <c r="B8" s="3" t="inlineStr">
        <is>
          <t>MP-05</t>
        </is>
      </c>
      <c r="C8" s="3" t="inlineStr">
        <is>
          <t>Implementar Pedidos cliente (web 1.9.0)</t>
        </is>
      </c>
      <c r="D8" s="3" t="inlineStr">
        <is>
          <t>Desarrollador</t>
        </is>
      </c>
      <c r="E8" s="3" t="inlineStr">
        <is>
          <t>Tarea</t>
        </is>
      </c>
      <c r="F8" s="3" t="inlineStr">
        <is>
          <t>Mostrar confirmación real de pedido y evitar que una página de éxito confirme un pedido inexistente. | Iteración 1.9.0 (2026-06-16): Pedidos cliente/admin, mapa, PKCS#7, búsqueda y paginación.</t>
        </is>
      </c>
      <c r="G8" s="3" t="inlineStr">
        <is>
          <t>Pedidos cliente</t>
        </is>
      </c>
    </row>
    <row r="9" ht="42" customHeight="1">
      <c r="A9" s="4" t="inlineStr">
        <is>
          <t>BOLT-WEB-008</t>
        </is>
      </c>
      <c r="B9" s="4" t="inlineStr">
        <is>
          <t>MP-06</t>
        </is>
      </c>
      <c r="C9" s="4" t="inlineStr">
        <is>
          <t>Implementar Usuarios / DNI / PII (web 1.6.0)</t>
        </is>
      </c>
      <c r="D9" s="4" t="inlineStr">
        <is>
          <t>Desarrollador</t>
        </is>
      </c>
      <c r="E9" s="4" t="inlineStr">
        <is>
          <t>Tarea</t>
        </is>
      </c>
      <c r="F9" s="4" t="inlineStr">
        <is>
          <t>Proteger registro, login y consulta DNI con Firebase, App Check, proof secret, rate limit y minimización de PII. | Iteración 1.6.0 (2026-05-31): Registro, perfil, favoritos, DNI pgcrypto, App Check.</t>
        </is>
      </c>
      <c r="G9" s="4" t="inlineStr">
        <is>
          <t>Usuarios / DNI / PII</t>
        </is>
      </c>
    </row>
    <row r="10" ht="42" customHeight="1">
      <c r="A10" s="3" t="inlineStr">
        <is>
          <t>BOLT-WEB-009</t>
        </is>
      </c>
      <c r="B10" s="3" t="inlineStr">
        <is>
          <t>MP-06</t>
        </is>
      </c>
      <c r="C10" s="3" t="inlineStr">
        <is>
          <t>Implementar Admin usuarios (web 1.6.0)</t>
        </is>
      </c>
      <c r="D10" s="3" t="inlineStr">
        <is>
          <t>Desarrollador / Admin</t>
        </is>
      </c>
      <c r="E10" s="3" t="inlineStr">
        <is>
          <t>Tarea</t>
        </is>
      </c>
      <c r="F10" s="3" t="inlineStr">
        <is>
          <t>Administrar usuarios y roles mostrando datos sensibles enmascarados y evitando elevación de privilegios. | Iteración 1.6.0 (2026-05-31): Registro, perfil, favoritos, DNI pgcrypto, App Check.</t>
        </is>
      </c>
      <c r="G10" s="3" t="inlineStr">
        <is>
          <t>Admin usuarios</t>
        </is>
      </c>
    </row>
    <row r="11" ht="42" customHeight="1">
      <c r="A11" s="4" t="inlineStr">
        <is>
          <t>BOLT-WEB-010</t>
        </is>
      </c>
      <c r="B11" s="4" t="inlineStr">
        <is>
          <t>MP-07</t>
        </is>
      </c>
      <c r="C11" s="4" t="inlineStr">
        <is>
          <t>Implementar Admin productos (web 1.8.0)</t>
        </is>
      </c>
      <c r="D11" s="4" t="inlineStr">
        <is>
          <t>Desarrollador / Admin</t>
        </is>
      </c>
      <c r="E11" s="4" t="inlineStr">
        <is>
          <t>Tarea</t>
        </is>
      </c>
      <c r="F11" s="4" t="inlineStr">
        <is>
          <t>Administrar productos, variantes, imágenes, códigos, tallas, colores, stock, campañas y reglas comerciales. | Iteración 1.8.0 (2026-06-12): Dashboard admin, productos, stock, finanzas, fabricantes BFF.</t>
        </is>
      </c>
      <c r="G11" s="4" t="inlineStr">
        <is>
          <t>Admin productos</t>
        </is>
      </c>
    </row>
    <row r="12" ht="42" customHeight="1">
      <c r="A12" s="3" t="inlineStr">
        <is>
          <t>BOLT-WEB-011</t>
        </is>
      </c>
      <c r="B12" s="3" t="inlineStr">
        <is>
          <t>MP-07</t>
        </is>
      </c>
      <c r="C12" s="3" t="inlineStr">
        <is>
          <t>Implementar Admin productos / Stock (web 1.8.0)</t>
        </is>
      </c>
      <c r="D12" s="3" t="inlineStr">
        <is>
          <t>Desarrollador / Admin</t>
        </is>
      </c>
      <c r="E12" s="3" t="inlineStr">
        <is>
          <t>Tarea</t>
        </is>
      </c>
      <c r="F12" s="3" t="inlineStr">
        <is>
          <t>Controlar stock por talla/color con ingresos, descuentos y restauraciones atómicas. | Iteración 1.8.0 (2026-06-12): Dashboard admin, productos, stock, finanzas, fabricantes BFF.</t>
        </is>
      </c>
      <c r="G12" s="3" t="inlineStr">
        <is>
          <t>Admin productos / Stock</t>
        </is>
      </c>
    </row>
    <row r="13" ht="42" customHeight="1">
      <c r="A13" s="4" t="inlineStr">
        <is>
          <t>BOLT-WEB-012</t>
        </is>
      </c>
      <c r="B13" s="4" t="inlineStr">
        <is>
          <t>MP-05</t>
        </is>
      </c>
      <c r="C13" s="4" t="inlineStr">
        <is>
          <t>Implementar Admin pedidos (web 1.8.0)</t>
        </is>
      </c>
      <c r="D13" s="4" t="inlineStr">
        <is>
          <t>Desarrollador / Admin</t>
        </is>
      </c>
      <c r="E13" s="4" t="inlineStr">
        <is>
          <t>Tarea</t>
        </is>
      </c>
      <c r="F13" s="4" t="inlineStr">
        <is>
          <t>Administrar pedidos con transiciones de estado permitidas y bloqueo de pago manual para pedidos Stripe. | Iteración 1.8.0 (2026-06-12): v1.8: listado admin pedidos con búsqueda, paginación y mapa entrega.</t>
        </is>
      </c>
      <c r="G13" s="4" t="inlineStr">
        <is>
          <t>Admin pedidos</t>
        </is>
      </c>
    </row>
    <row r="14" ht="42" customHeight="1">
      <c r="A14" s="3" t="inlineStr">
        <is>
          <t>BOLT-WEB-013</t>
        </is>
      </c>
      <c r="B14" s="3" t="inlineStr">
        <is>
          <t>MP-07</t>
        </is>
      </c>
      <c r="C14" s="3" t="inlineStr">
        <is>
          <t>Implementar Admin fabricantes (web 1.8.0)</t>
        </is>
      </c>
      <c r="D14" s="3" t="inlineStr">
        <is>
          <t>Desarrollador / Admin</t>
        </is>
      </c>
      <c r="E14" s="3" t="inlineStr">
        <is>
          <t>Tarea</t>
        </is>
      </c>
      <c r="F14" s="3" t="inlineStr">
        <is>
          <t>Gestionar fabricantes y marcas con formularios, documentos, búsqueda y eliminación mediante diálogo accesible. | Iteración 1.8.0 (2026-06-12): Dashboard admin, productos, stock, finanzas, fabricantes BFF.</t>
        </is>
      </c>
      <c r="G14" s="3" t="inlineStr">
        <is>
          <t>Admin fabricantes</t>
        </is>
      </c>
    </row>
    <row r="15" ht="42" customHeight="1">
      <c r="A15" s="4" t="inlineStr">
        <is>
          <t>BOLT-WEB-014</t>
        </is>
      </c>
      <c r="B15" s="4" t="inlineStr">
        <is>
          <t>MP-08</t>
        </is>
      </c>
      <c r="C15" s="4" t="inlineStr">
        <is>
          <t>Implementar Admin ventas (web 1.3.0)</t>
        </is>
      </c>
      <c r="D15" s="4" t="inlineStr">
        <is>
          <t>Desarrollador / Admin</t>
        </is>
      </c>
      <c r="E15" s="4" t="inlineStr">
        <is>
          <t>Tarea</t>
        </is>
      </c>
      <c r="F15" s="4" t="inlineStr">
        <is>
          <t>Registrar ventas físicas de tienda con selección de producto, talla, precio, documento, encargado y actualización de stock. | Iteración 1.3.0 (2026-05-19): Ventas diarias, devoluciones, panel staff/trabajador.</t>
        </is>
      </c>
      <c r="G15" s="4" t="inlineStr">
        <is>
          <t>Admin ventas</t>
        </is>
      </c>
    </row>
    <row r="16" ht="42" customHeight="1">
      <c r="A16" s="3" t="inlineStr">
        <is>
          <t>BOLT-WEB-015</t>
        </is>
      </c>
      <c r="B16" s="3" t="inlineStr">
        <is>
          <t>MP-08</t>
        </is>
      </c>
      <c r="C16" s="3" t="inlineStr">
        <is>
          <t>Implementar Admin ventas / Devoluciones (web 1.3.0)</t>
        </is>
      </c>
      <c r="D16" s="3" t="inlineStr">
        <is>
          <t>Desarrollador / Admin</t>
        </is>
      </c>
      <c r="E16" s="3" t="inlineStr">
        <is>
          <t>Tarea</t>
        </is>
      </c>
      <c r="F16" s="3" t="inlineStr">
        <is>
          <t>Registrar devoluciones de ventas físicas con motivo obligatorio y restauración automática de stock. | Iteración 1.3.0 (2026-05-19): Ventas diarias, devoluciones, panel staff/trabajador.</t>
        </is>
      </c>
      <c r="G16" s="3" t="inlineStr">
        <is>
          <t>Admin ventas / Devoluciones</t>
        </is>
      </c>
    </row>
    <row r="17" ht="42" customHeight="1">
      <c r="A17" s="4" t="inlineStr">
        <is>
          <t>BOLT-WEB-016</t>
        </is>
      </c>
      <c r="B17" s="4" t="inlineStr">
        <is>
          <t>MP-09</t>
        </is>
      </c>
      <c r="C17" s="4" t="inlineStr">
        <is>
          <t>Implementar Admin datos Excel (web 1.2.0)</t>
        </is>
      </c>
      <c r="D17" s="4" t="inlineStr">
        <is>
          <t>Desarrollador / Admin</t>
        </is>
      </c>
      <c r="E17" s="4" t="inlineStr">
        <is>
          <t>Tarea</t>
        </is>
      </c>
      <c r="F17" s="4" t="inlineStr">
        <is>
          <t>Importar y exportar productos, finanzas y ventas mediante Excel con reglas comerciales actualizadas. | Iteración 1.2.0 (2026-05-16): Import/export Excel, reglas comerciales, sanitización.</t>
        </is>
      </c>
      <c r="G17" s="4" t="inlineStr">
        <is>
          <t>Admin datos Excel</t>
        </is>
      </c>
    </row>
    <row r="18" ht="42" customHeight="1">
      <c r="A18" s="3" t="inlineStr">
        <is>
          <t>BOLT-WEB-017</t>
        </is>
      </c>
      <c r="B18" s="3" t="inlineStr">
        <is>
          <t>MP-09</t>
        </is>
      </c>
      <c r="C18" s="3" t="inlineStr">
        <is>
          <t>Implementar Admin datos Excel / Seguridad (web 1.2.0)</t>
        </is>
      </c>
      <c r="D18" s="3" t="inlineStr">
        <is>
          <t>Desarrollador / Admin</t>
        </is>
      </c>
      <c r="E18" s="3" t="inlineStr">
        <is>
          <t>Tarea</t>
        </is>
      </c>
      <c r="F18" s="3" t="inlineStr">
        <is>
          <t>Neutralizar fórmulas maliciosas al exportar hojas Excel para evitar spreadsheet injection. | Iteración 1.2.0 (2026-05-16): Import/export Excel, reglas comerciales, sanitización.</t>
        </is>
      </c>
      <c r="G18" s="3" t="inlineStr">
        <is>
          <t>Admin datos Excel / Seguridad</t>
        </is>
      </c>
    </row>
    <row r="19" ht="42" customHeight="1">
      <c r="A19" s="4" t="inlineStr">
        <is>
          <t>BOLT-WEB-018</t>
        </is>
      </c>
      <c r="B19" s="4" t="inlineStr">
        <is>
          <t>MP-10</t>
        </is>
      </c>
      <c r="C19" s="4" t="inlineStr">
        <is>
          <t>Implementar Auditoría (web 1.9.0)</t>
        </is>
      </c>
      <c r="D19" s="4" t="inlineStr">
        <is>
          <t>Desarrollador</t>
        </is>
      </c>
      <c r="E19" s="4" t="inlineStr">
        <is>
          <t>Tarea</t>
        </is>
      </c>
      <c r="F19" s="4" t="inlineStr">
        <is>
          <t>Proteger auditoría para que solo registre acciones permitidas, sin eventos arbitrarios desde navegador ni PII innecesaria. | Iteración 1.9.0 (2026-06-16): v1.9: auditoría admin trail + PII enforce at insert.</t>
        </is>
      </c>
      <c r="G19" s="4" t="inlineStr">
        <is>
          <t>Auditoría</t>
        </is>
      </c>
    </row>
    <row r="20" ht="42" customHeight="1">
      <c r="A20" s="3" t="inlineStr">
        <is>
          <t>BOLT-WEB-019</t>
        </is>
      </c>
      <c r="B20" s="3" t="inlineStr">
        <is>
          <t>MP-04</t>
        </is>
      </c>
      <c r="C20" s="3" t="inlineStr">
        <is>
          <t>Implementar Pagos / Stripe (web 1.8.0)</t>
        </is>
      </c>
      <c r="D20" s="3" t="inlineStr">
        <is>
          <t>Desarrollador</t>
        </is>
      </c>
      <c r="E20" s="3" t="inlineStr">
        <is>
          <t>Tarea</t>
        </is>
      </c>
      <c r="F20" s="3" t="inlineStr">
        <is>
          <t>Validar pagos Stripe mediante webhook firmado y bloquear marcado manual de pagado para pedidos Stripe. | Iteración 1.8.0 (2026-06-12): Carrito, checkout Stripe/COD, entrega geocodificada ORS.</t>
        </is>
      </c>
      <c r="G20" s="3" t="inlineStr">
        <is>
          <t>Pagos / Stripe</t>
        </is>
      </c>
    </row>
    <row r="21" ht="42" customHeight="1">
      <c r="A21" s="4" t="inlineStr">
        <is>
          <t>BOLT-WEB-020</t>
        </is>
      </c>
      <c r="B21" s="4" t="inlineStr">
        <is>
          <t>MP-10</t>
        </is>
      </c>
      <c r="C21" s="4" t="inlineStr">
        <is>
          <t>Implementar BFF / Seguridad (web 1.9.0)</t>
        </is>
      </c>
      <c r="D21" s="4" t="inlineStr">
        <is>
          <t>Desarrollador</t>
        </is>
      </c>
      <c r="E21" s="4" t="inlineStr">
        <is>
          <t>Tarea</t>
        </is>
      </c>
      <c r="F21" s="4" t="inlineStr">
        <is>
          <t>Aplicar rate limit y monitoreo de seguridad en endpoints públicos para evitar abuso, scraping o enumeración. | Iteración 1.9.0 (2026-06-16): RLS, BFF fail-closed, ZAP prod, rate limit, auditoría PII.</t>
        </is>
      </c>
      <c r="G21" s="4" t="inlineStr">
        <is>
          <t>BFF / Seguridad</t>
        </is>
      </c>
    </row>
    <row r="22" ht="42" customHeight="1">
      <c r="A22" s="3" t="inlineStr">
        <is>
          <t>BOLT-WEB-021</t>
        </is>
      </c>
      <c r="B22" s="3" t="inlineStr">
        <is>
          <t>MP-10</t>
        </is>
      </c>
      <c r="C22" s="3" t="inlineStr">
        <is>
          <t>Implementar Seguridad DAST (web 1.9.0)</t>
        </is>
      </c>
      <c r="D22" s="3" t="inlineStr">
        <is>
          <t>Desarrollador</t>
        </is>
      </c>
      <c r="E22" s="3" t="inlineStr">
        <is>
          <t>Tarea</t>
        </is>
      </c>
      <c r="F22" s="3" t="inlineStr">
        <is>
          <t>Ejecutar pruebas Docker/ZAP de seguridad dinámica para confirmar que no existen hallazgos altos o críticos. | Iteración 1.9.0 (2026-06-16): v1.9: ZAP production v2 + guard tests seguridad.</t>
        </is>
      </c>
      <c r="G22" s="3" t="inlineStr">
        <is>
          <t>Seguridad DAST</t>
        </is>
      </c>
    </row>
    <row r="23" ht="42" customHeight="1">
      <c r="A23" s="4" t="inlineStr">
        <is>
          <t>BOLT-WEB-022</t>
        </is>
      </c>
      <c r="B23" s="4" t="inlineStr">
        <is>
          <t>MP-11</t>
        </is>
      </c>
      <c r="C23" s="4" t="inlineStr">
        <is>
          <t>Implementar Supabase / RLS / RPC (web 1.9.0)</t>
        </is>
      </c>
      <c r="D23" s="4" t="inlineStr">
        <is>
          <t>Desarrollador</t>
        </is>
      </c>
      <c r="E23" s="4" t="inlineStr">
        <is>
          <t>Tarea</t>
        </is>
      </c>
      <c r="F23" s="4" t="inlineStr">
        <is>
          <t>Controlar acceso a Supabase mediante RLS, revoke y RPC administrativas únicamente por BFF/service_role. | Iteración 1.9.0 (2026-06-16): v1.9: RLS matrix + migración qc_* + PKCS#7 pedidos.</t>
        </is>
      </c>
      <c r="G23" s="4" t="inlineStr">
        <is>
          <t>Supabase / RLS / RPC</t>
        </is>
      </c>
    </row>
    <row r="24" ht="42" customHeight="1">
      <c r="A24" s="3" t="inlineStr">
        <is>
          <t>BOLT-WEB-023</t>
        </is>
      </c>
      <c r="B24" s="3" t="inlineStr">
        <is>
          <t>MP-11</t>
        </is>
      </c>
      <c r="C24" s="3" t="inlineStr">
        <is>
          <t>Implementar Supabase / PII (web 1.9.0)</t>
        </is>
      </c>
      <c r="D24" s="3" t="inlineStr">
        <is>
          <t>Desarrollador</t>
        </is>
      </c>
      <c r="E24" s="3" t="inlineStr">
        <is>
          <t>Tarea</t>
        </is>
      </c>
      <c r="F24" s="3" t="inlineStr">
        <is>
          <t>Minimizar y proteger datos personales del usuario, especialmente DNI, correo y teléfono. | Iteración 1.9.0 (2026-06-16): 64 migraciones, qc_* RLS, anti-regresión, modelo_estado.</t>
        </is>
      </c>
      <c r="G24" s="3" t="inlineStr">
        <is>
          <t>Supabase / PII</t>
        </is>
      </c>
    </row>
    <row r="25" ht="42" customHeight="1">
      <c r="A25" s="4" t="inlineStr">
        <is>
          <t>BOLT-WEB-024</t>
        </is>
      </c>
      <c r="B25" s="4" t="inlineStr">
        <is>
          <t>MP-12</t>
        </is>
      </c>
      <c r="C25" s="4" t="inlineStr">
        <is>
          <t>Implementar IA / Predicciones (web 1.7.0)</t>
        </is>
      </c>
      <c r="D25" s="4" t="inlineStr">
        <is>
          <t>Desarrollador / Admin</t>
        </is>
      </c>
      <c r="E25" s="4" t="inlineStr">
        <is>
          <t>Tarea</t>
        </is>
      </c>
      <c r="F25" s="4" t="inlineStr">
        <is>
          <t>Mostrar predicciones, métricas, IRE, campañas y estado de suficiencia de datos para apoyar decisiones comerciales. | Iteración 1.7.0 (2026-06-08): v1.7: panel IRE + campañas + sparkline historial.</t>
        </is>
      </c>
      <c r="G25" s="4" t="inlineStr">
        <is>
          <t>IA / Predicciones</t>
        </is>
      </c>
    </row>
    <row r="26" ht="42" customHeight="1">
      <c r="A26" s="3" t="inlineStr">
        <is>
          <t>BOLT-WEB-025</t>
        </is>
      </c>
      <c r="B26" s="3" t="inlineStr">
        <is>
          <t>MP-13</t>
        </is>
      </c>
      <c r="C26" s="3" t="inlineStr">
        <is>
          <t>Implementar DevOps / CI/CD (web 1.9.0)</t>
        </is>
      </c>
      <c r="D26" s="3" t="inlineStr">
        <is>
          <t>Desarrollador</t>
        </is>
      </c>
      <c r="E26" s="3" t="inlineStr">
        <is>
          <t>Tarea</t>
        </is>
      </c>
      <c r="F26" s="3" t="inlineStr">
        <is>
          <t>Ejecutar CI/CD con lint, typecheck, pruebas unitarias, E2E, migraciones, Docker, Functions y gates de despliegue. | Iteración 1.9.0 (2026-06-16): v1.9: CI con gates ISO 25000, E2E multi-browser, typecheck.</t>
        </is>
      </c>
      <c r="G26" s="3" t="inlineStr">
        <is>
          <t>DevOps / CI/CD</t>
        </is>
      </c>
    </row>
    <row r="27" ht="42" customHeight="1">
      <c r="A27" s="4" t="inlineStr">
        <is>
          <t>BOLT-WEB-026</t>
        </is>
      </c>
      <c r="B27" s="4" t="inlineStr">
        <is>
          <t>MP-13</t>
        </is>
      </c>
      <c r="C27" s="4" t="inlineStr">
        <is>
          <t>Implementar Rendimiento / Stress (web 1.9.0)</t>
        </is>
      </c>
      <c r="D27" s="4" t="inlineStr">
        <is>
          <t>Desarrollador</t>
        </is>
      </c>
      <c r="E27" s="4" t="inlineStr">
        <is>
          <t>Tarea</t>
        </is>
      </c>
      <c r="F27" s="4" t="inlineStr">
        <is>
          <t>Validar capacidad web mediante pruebas de estrés y carga con autocannon y k6, incluyendo evidencia de 2000 conexiones concurrentes. | Iteración 1.9.0 (2026-06-16): v1.9: k6 mixed1000 BFF live + autocannon stress.</t>
        </is>
      </c>
      <c r="G27" s="4" t="inlineStr">
        <is>
          <t>Rendimiento / Stress</t>
        </is>
      </c>
    </row>
    <row r="28" ht="42" customHeight="1">
      <c r="A28" s="3" t="inlineStr">
        <is>
          <t>BOLT-WEB-027</t>
        </is>
      </c>
      <c r="B28" s="3" t="inlineStr">
        <is>
          <t>MP-13</t>
        </is>
      </c>
      <c r="C28" s="3" t="inlineStr">
        <is>
          <t>Implementar Continuidad (web 1.9.0)</t>
        </is>
      </c>
      <c r="D28" s="3" t="inlineStr">
        <is>
          <t>Desarrollador</t>
        </is>
      </c>
      <c r="E28" s="3" t="inlineStr">
        <is>
          <t>Tarea</t>
        </is>
      </c>
      <c r="F28" s="3" t="inlineStr">
        <is>
          <t>Mantener continuidad operativa mediante readiness checks, restore drill y evidencia de recuperación. | Iteración 1.9.0 (2026-06-16): v1.9: restore drill Supabase real + fiabilidad 84% prod.</t>
        </is>
      </c>
      <c r="G28" s="3" t="inlineStr">
        <is>
          <t>Continuidad</t>
        </is>
      </c>
    </row>
    <row r="29" ht="42" customHeight="1">
      <c r="A29" s="4" t="inlineStr">
        <is>
          <t>BOLT-WEB-028</t>
        </is>
      </c>
      <c r="B29" s="4" t="inlineStr">
        <is>
          <t>MP-14</t>
        </is>
      </c>
      <c r="C29" s="4" t="inlineStr">
        <is>
          <t>Implementar Campañas (web 1.7.0)</t>
        </is>
      </c>
      <c r="D29" s="4" t="inlineStr">
        <is>
          <t>Desarrollador</t>
        </is>
      </c>
      <c r="E29" s="4" t="inlineStr">
        <is>
          <t>Tarea</t>
        </is>
      </c>
      <c r="F29" s="4" t="inlineStr">
        <is>
          <t>Gestionar campañas comerciales, outlet, nueva temporada y landings conectadas al catálogo. | Iteración 1.7.0 (2026-06-08): v1.7: campañas detectadas + feedback adaptativo.</t>
        </is>
      </c>
      <c r="G29" s="4" t="inlineStr">
        <is>
          <t>Campañas</t>
        </is>
      </c>
    </row>
    <row r="30" ht="42" customHeight="1">
      <c r="A30" s="3" t="inlineStr">
        <is>
          <t>BOLT-WEB-029</t>
        </is>
      </c>
      <c r="B30" s="3" t="inlineStr">
        <is>
          <t>MP-15</t>
        </is>
      </c>
      <c r="C30" s="3" t="inlineStr">
        <is>
          <t>Implementar Libro de reclamaciones (web 1.5.0)</t>
        </is>
      </c>
      <c r="D30" s="3" t="inlineStr">
        <is>
          <t>Desarrollador</t>
        </is>
      </c>
      <c r="E30" s="3" t="inlineStr">
        <is>
          <t>Tarea</t>
        </is>
      </c>
      <c r="F30" s="3" t="inlineStr">
        <is>
          <t>Registrar, consultar y administrar hojas del libro de reclamaciones con validación, constancia y seguimiento. | Iteración 1.5.0 (2026-05-26): Libro reclamaciones virtual implementado.</t>
        </is>
      </c>
      <c r="G30" s="3" t="inlineStr">
        <is>
          <t>Libro de reclamaciones</t>
        </is>
      </c>
    </row>
    <row r="31" ht="42" customHeight="1">
      <c r="A31" s="4" t="inlineStr">
        <is>
          <t>BOLT-WEB-030</t>
        </is>
      </c>
      <c r="B31" s="4" t="inlineStr">
        <is>
          <t>MP-16</t>
        </is>
      </c>
      <c r="C31" s="4" t="inlineStr">
        <is>
          <t>Implementar Privacidad / Cookies (web 1.5.0)</t>
        </is>
      </c>
      <c r="D31" s="4" t="inlineStr">
        <is>
          <t>Desarrollador</t>
        </is>
      </c>
      <c r="E31" s="4" t="inlineStr">
        <is>
          <t>Tarea</t>
        </is>
      </c>
      <c r="F31" s="4" t="inlineStr">
        <is>
          <t>Gestionar consentimiento de cookies mediante banner, modal de preferencias y almacenamiento controlado. | Iteración 1.5.0 (2026-05-26): Política privacidad, cookies, cumplimiento Ley 29733.</t>
        </is>
      </c>
      <c r="G31" s="4" t="inlineStr">
        <is>
          <t>Privacidad / Cookies</t>
        </is>
      </c>
    </row>
    <row r="32" ht="42" customHeight="1">
      <c r="A32" s="3" t="inlineStr">
        <is>
          <t>BOLT-WEB-031</t>
        </is>
      </c>
      <c r="B32" s="3" t="inlineStr">
        <is>
          <t>MP-13</t>
        </is>
      </c>
      <c r="C32" s="3" t="inlineStr">
        <is>
          <t>Implementar Docker / Portabilidad (web 1.9.0)</t>
        </is>
      </c>
      <c r="D32" s="3" t="inlineStr">
        <is>
          <t>Desarrollador</t>
        </is>
      </c>
      <c r="E32" s="3" t="inlineStr">
        <is>
          <t>Tarea</t>
        </is>
      </c>
      <c r="F32" s="3" t="inlineStr">
        <is>
          <t>Garantizar portabilidad mediante Docker, Docker Compose, Dockerfile frontend, servicio IA dockerizado y emulador Firebase. | Iteración 1.9.0 (2026-06-16): v1.9: portabilidad adaptabilidad/intercambiabilidad gates.</t>
        </is>
      </c>
      <c r="G32" s="3" t="inlineStr">
        <is>
          <t>Docker / Portabilidad</t>
        </is>
      </c>
    </row>
    <row r="33" ht="42" customHeight="1">
      <c r="A33" s="4" t="inlineStr">
        <is>
          <t>BOLT-WEB-032</t>
        </is>
      </c>
      <c r="B33" s="4" t="inlineStr">
        <is>
          <t>MP-06</t>
        </is>
      </c>
      <c r="C33" s="4" t="inlineStr">
        <is>
          <t>Implementar Cliente / Favoritos (web 1.6.0)</t>
        </is>
      </c>
      <c r="D33" s="4" t="inlineStr">
        <is>
          <t>Desarrollador</t>
        </is>
      </c>
      <c r="E33" s="4" t="inlineStr">
        <is>
          <t>Tarea</t>
        </is>
      </c>
      <c r="F33" s="4" t="inlineStr">
        <is>
          <t>Gestionar favoritos privados por cuenta para que cada cliente conserve sus productos de interés sin mezclar datos entre usuarios. | Iteración 1.6.0 (2026-05-31): Registro, perfil, favoritos, DNI pgcrypto, App Check.</t>
        </is>
      </c>
      <c r="G33" s="4" t="inlineStr">
        <is>
          <t>Cliente / Favoritos</t>
        </is>
      </c>
    </row>
    <row r="34" ht="42" customHeight="1">
      <c r="A34" s="3" t="inlineStr">
        <is>
          <t>BOLT-WEB-033</t>
        </is>
      </c>
      <c r="B34" s="3" t="inlineStr">
        <is>
          <t>MP-06</t>
        </is>
      </c>
      <c r="C34" s="3" t="inlineStr">
        <is>
          <t>Implementar Cliente / Perfil (web 1.6.0)</t>
        </is>
      </c>
      <c r="D34" s="3" t="inlineStr">
        <is>
          <t>Desarrollador</t>
        </is>
      </c>
      <c r="E34" s="3" t="inlineStr">
        <is>
          <t>Tarea</t>
        </is>
      </c>
      <c r="F34" s="3" t="inlineStr">
        <is>
          <t>Permitir que el cliente gestione su perfil con validaciones de teléfono, dirección y errores claros sin degradar la identidad legal validada por DNI. | Iteración 1.6.0 (2026-05-31): Registro, perfil, favoritos, DNI pgcrypto, App Check.</t>
        </is>
      </c>
      <c r="G34" s="3" t="inlineStr">
        <is>
          <t>Cliente / Perfil</t>
        </is>
      </c>
    </row>
    <row r="35" ht="42" customHeight="1">
      <c r="A35" s="4" t="inlineStr">
        <is>
          <t>BOLT-WEB-034</t>
        </is>
      </c>
      <c r="B35" s="4" t="inlineStr">
        <is>
          <t>MP-05</t>
        </is>
      </c>
      <c r="C35" s="4" t="inlineStr">
        <is>
          <t>Implementar Pedidos cliente / Historial (web 1.9.0)</t>
        </is>
      </c>
      <c r="D35" s="4" t="inlineStr">
        <is>
          <t>Desarrollador</t>
        </is>
      </c>
      <c r="E35" s="4" t="inlineStr">
        <is>
          <t>Tarea</t>
        </is>
      </c>
      <c r="F35" s="4" t="inlineStr">
        <is>
          <t>Mostrar historial de pedidos del cliente distinguiendo carga, lista vacía, fallo de red y detalle accesible de cada pedido. | Iteración 1.9.0 (2026-06-16): Pedidos cliente/admin, mapa, PKCS#7, búsqueda y paginación.</t>
        </is>
      </c>
      <c r="G35" s="4" t="inlineStr">
        <is>
          <t>Pedidos cliente / Historial</t>
        </is>
      </c>
    </row>
    <row r="36" ht="42" customHeight="1">
      <c r="A36" s="3" t="inlineStr">
        <is>
          <t>BOLT-WEB-035</t>
        </is>
      </c>
      <c r="B36" s="3" t="inlineStr">
        <is>
          <t>MP-07</t>
        </is>
      </c>
      <c r="C36" s="3" t="inlineStr">
        <is>
          <t>Implementar Admin / Dashboard (web 1.8.0)</t>
        </is>
      </c>
      <c r="D36" s="3" t="inlineStr">
        <is>
          <t>Desarrollador / Admin</t>
        </is>
      </c>
      <c r="E36" s="3" t="inlineStr">
        <is>
          <t>Tarea</t>
        </is>
      </c>
      <c r="F36" s="3" t="inlineStr">
        <is>
          <t>Consolidar el dashboard administrativo con KPIs, pedidos recientes, auditoría y estados de error/reintento para toma de decisiones. | Iteración 1.8.0 (2026-06-12): Dashboard admin, productos, stock, finanzas, fabricantes BFF.</t>
        </is>
      </c>
      <c r="G36" s="3" t="inlineStr">
        <is>
          <t>Admin / Dashboard</t>
        </is>
      </c>
    </row>
    <row r="37" ht="42" customHeight="1">
      <c r="A37" s="4" t="inlineStr">
        <is>
          <t>BOLT-WEB-036</t>
        </is>
      </c>
      <c r="B37" s="4" t="inlineStr">
        <is>
          <t>MP-03</t>
        </is>
      </c>
      <c r="C37" s="4" t="inlineStr">
        <is>
          <t>Implementar Admin productos / Imágenes (web 1.7.0)</t>
        </is>
      </c>
      <c r="D37" s="4" t="inlineStr">
        <is>
          <t>Desarrollador / Admin</t>
        </is>
      </c>
      <c r="E37" s="4" t="inlineStr">
        <is>
          <t>Tarea</t>
        </is>
      </c>
      <c r="F37" s="4" t="inlineStr">
        <is>
          <t>Gestionar imágenes de producto mediante firma de subida en servidor para mantener catálogo visual sin exponer secretos Cloudinary al navegador. | Iteración 1.7.0 (2026-06-08): Catálogo, variantes, imágenes Cloudinary, campaña en productos.</t>
        </is>
      </c>
      <c r="G37" s="4" t="inlineStr">
        <is>
          <t>Admin productos / Imágenes</t>
        </is>
      </c>
    </row>
    <row r="38" ht="42" customHeight="1">
      <c r="A38" s="3" t="inlineStr">
        <is>
          <t>BOLT-WEB-037</t>
        </is>
      </c>
      <c r="B38" s="3" t="inlineStr">
        <is>
          <t>MP-04</t>
        </is>
      </c>
      <c r="C38" s="3" t="inlineStr">
        <is>
          <t>Implementar Checkout / Entrega (web 1.8.0)</t>
        </is>
      </c>
      <c r="D38" s="3" t="inlineStr">
        <is>
          <t>Desarrollador</t>
        </is>
      </c>
      <c r="E38" s="3" t="inlineStr">
        <is>
          <t>Tarea</t>
        </is>
      </c>
      <c r="F38" s="3" t="inlineStr">
        <is>
          <t>Calcular entrega, distancia y costo de envío con validación de ubicación, degradación controlada del mapa y límites de zona antes de confirmar el pedido. | Iteración 1.8.0 (2026-06-12): v1.8: checkout entrega + rutas Google Maps / ORS.</t>
        </is>
      </c>
      <c r="G38" s="3" t="inlineStr">
        <is>
          <t>Checkout / Entrega</t>
        </is>
      </c>
    </row>
    <row r="39" ht="42" customHeight="1">
      <c r="A39" s="4" t="inlineStr">
        <is>
          <t>BOLT-WEB-038</t>
        </is>
      </c>
      <c r="B39" s="4" t="inlineStr">
        <is>
          <t>MP-09</t>
        </is>
      </c>
      <c r="C39" s="4" t="inlineStr">
        <is>
          <t>Implementar Admin datos / Importación Excel (web 1.2.0)</t>
        </is>
      </c>
      <c r="D39" s="4" t="inlineStr">
        <is>
          <t>Desarrollador / Admin</t>
        </is>
      </c>
      <c r="E39" s="4" t="inlineStr">
        <is>
          <t>Tarea</t>
        </is>
      </c>
      <c r="F39" s="4" t="inlineStr">
        <is>
          <t>Importar datos administrativos desde Excel con configuración por colección, validación previa, transformación de filas y envío al BFF. | Iteración 1.2.0 (2026-05-16): Import/export Excel, reglas comerciales, sanitización.</t>
        </is>
      </c>
      <c r="G39" s="4" t="inlineStr">
        <is>
          <t>Admin datos / Importación Excel</t>
        </is>
      </c>
    </row>
    <row r="40" ht="42" customHeight="1">
      <c r="A40" s="3" t="inlineStr">
        <is>
          <t>BOLT-WEB-039</t>
        </is>
      </c>
      <c r="B40" s="3" t="inlineStr">
        <is>
          <t>MP-09</t>
        </is>
      </c>
      <c r="C40" s="3" t="inlineStr">
        <is>
          <t>Implementar Admin datos / Exportación Excel (web 1.2.0)</t>
        </is>
      </c>
      <c r="D40" s="3" t="inlineStr">
        <is>
          <t>Desarrollador / Admin</t>
        </is>
      </c>
      <c r="E40" s="3" t="inlineStr">
        <is>
          <t>Tarea</t>
        </is>
      </c>
      <c r="F40" s="3" t="inlineStr">
        <is>
          <t>Exportar plantillas, escenarios de prueba, productos, finanzas y ventas en formato Excel con sanitización de celdas para evitar fórmulas peligrosas. | Iteración 1.2.0 (2026-05-16): Import/export Excel, reglas comerciales, sanitización.</t>
        </is>
      </c>
      <c r="G40" s="3" t="inlineStr">
        <is>
          <t>Admin datos / Exportación Excel</t>
        </is>
      </c>
    </row>
    <row r="41" ht="42" customHeight="1">
      <c r="A41" s="4" t="inlineStr">
        <is>
          <t>BOLT-WEB-040</t>
        </is>
      </c>
      <c r="B41" s="4" t="inlineStr">
        <is>
          <t>MP-09</t>
        </is>
      </c>
      <c r="C41" s="4" t="inlineStr">
        <is>
          <t>Implementar Admin datos / Escenarios (web 1.2.0)</t>
        </is>
      </c>
      <c r="D41" s="4" t="inlineStr">
        <is>
          <t>Desarrollador / Admin</t>
        </is>
      </c>
      <c r="E41" s="4" t="inlineStr">
        <is>
          <t>Tarea</t>
        </is>
      </c>
      <c r="F41" s="4" t="inlineStr">
        <is>
          <t>Administrar datos de prueba importados por escenario, permitiendo identificar, listar y eliminar registros de prueba sin afectar datos reales. | Iteración 1.2.0 (2026-05-16): Import/export Excel, reglas comerciales, sanitización.</t>
        </is>
      </c>
      <c r="G41" s="4" t="inlineStr">
        <is>
          <t>Admin datos / Escenarios</t>
        </is>
      </c>
    </row>
    <row r="42" ht="42" customHeight="1">
      <c r="A42" s="3" t="inlineStr">
        <is>
          <t>BOLT-WEB-041</t>
        </is>
      </c>
      <c r="B42" s="3" t="inlineStr">
        <is>
          <t>MP-07</t>
        </is>
      </c>
      <c r="C42" s="3" t="inlineStr">
        <is>
          <t>Implementar Admin productos / Reglas comerciales (web 1.8.0)</t>
        </is>
      </c>
      <c r="D42" s="3" t="inlineStr">
        <is>
          <t>Desarrollador / Admin</t>
        </is>
      </c>
      <c r="E42" s="3" t="inlineStr">
        <is>
          <t>Tarea</t>
        </is>
      </c>
      <c r="F42" s="3" t="inlineStr">
        <is>
          <t>Aplicar reglas comerciales de producto para categoría, tipo, estilo, material, costos, márgenes y precio público antes de persistir el catálogo. | Iteración 1.8.0 (2026-06-12): Dashboard admin, productos, stock, finanzas, fabricantes BFF.</t>
        </is>
      </c>
      <c r="G42" s="3" t="inlineStr">
        <is>
          <t>Admin productos / Reglas comerciales</t>
        </is>
      </c>
    </row>
    <row r="43" ht="42" customHeight="1">
      <c r="A43" s="4" t="inlineStr">
        <is>
          <t>BOLT-WEB-042</t>
        </is>
      </c>
      <c r="B43" s="4" t="inlineStr">
        <is>
          <t>MP-03</t>
        </is>
      </c>
      <c r="C43" s="4" t="inlineStr">
        <is>
          <t>Implementar Admin productos / Códigos (web 1.7.0)</t>
        </is>
      </c>
      <c r="D43" s="4" t="inlineStr">
        <is>
          <t>Desarrollador / Admin</t>
        </is>
      </c>
      <c r="E43" s="4" t="inlineStr">
        <is>
          <t>Tarea</t>
        </is>
      </c>
      <c r="F43" s="4" t="inlineStr">
        <is>
          <t>Evitar duplicidad de códigos de producto y variantes para sostener trazabilidad de stock, ventas, importaciones y auditoría. | Iteración 1.7.0 (2026-06-08): Catálogo, variantes, imágenes Cloudinary, campaña en productos.</t>
        </is>
      </c>
      <c r="G43" s="4" t="inlineStr">
        <is>
          <t>Admin productos / Códigos</t>
        </is>
      </c>
    </row>
    <row r="44" ht="42" customHeight="1">
      <c r="A44" s="3" t="inlineStr">
        <is>
          <t>BOLT-WEB-043</t>
        </is>
      </c>
      <c r="B44" s="3" t="inlineStr">
        <is>
          <t>MP-07</t>
        </is>
      </c>
      <c r="C44" s="3" t="inlineStr">
        <is>
          <t>Implementar Admin productos / Finanzas (web 1.8.0)</t>
        </is>
      </c>
      <c r="D44" s="3" t="inlineStr">
        <is>
          <t>Desarrollador / Admin</t>
        </is>
      </c>
      <c r="E44" s="3" t="inlineStr">
        <is>
          <t>Tarea</t>
        </is>
      </c>
      <c r="F44" s="3" t="inlineStr">
        <is>
          <t>Proteger información financiera de producto para que costos y márgenes no queden expuestos en el catálogo público ni en escrituras directas del cliente. | Iteración 1.8.0 (2026-06-12): Dashboard admin, productos, stock, finanzas, fabricantes BFF.</t>
        </is>
      </c>
      <c r="G44" s="3" t="inlineStr">
        <is>
          <t>Admin productos / Finanzas</t>
        </is>
      </c>
    </row>
    <row r="45" ht="42" customHeight="1">
      <c r="A45" s="4" t="inlineStr">
        <is>
          <t>BOLT-WEB-044</t>
        </is>
      </c>
      <c r="B45" s="4" t="inlineStr">
        <is>
          <t>MP-11</t>
        </is>
      </c>
      <c r="C45" s="4" t="inlineStr">
        <is>
          <t>Implementar Supabase / Anti-regresión (web 1.9.0)</t>
        </is>
      </c>
      <c r="D45" s="4" t="inlineStr">
        <is>
          <t>Desarrollador</t>
        </is>
      </c>
      <c r="E45" s="4" t="inlineStr">
        <is>
          <t>Tarea</t>
        </is>
      </c>
      <c r="F45" s="4" t="inlineStr">
        <is>
          <t>Impedir que el frontend web reintroduzca escrituras directas a tablas sensibles de Supabase fuera del BFF autorizado. | Iteración 1.9.0 (2026-06-16): v1.9: anti-regresión migraciones Supabase.</t>
        </is>
      </c>
      <c r="G45" s="4" t="inlineStr">
        <is>
          <t>Supabase / Anti-regresión</t>
        </is>
      </c>
    </row>
    <row r="46" ht="42" customHeight="1">
      <c r="A46" s="3" t="inlineStr">
        <is>
          <t>BOLT-WEB-045</t>
        </is>
      </c>
      <c r="B46" s="3" t="inlineStr">
        <is>
          <t>MP-11</t>
        </is>
      </c>
      <c r="C46" s="3" t="inlineStr">
        <is>
          <t>Implementar Supabase / RLS (web 1.9.0)</t>
        </is>
      </c>
      <c r="D46" s="3" t="inlineStr">
        <is>
          <t>Desarrollador</t>
        </is>
      </c>
      <c r="E46" s="3" t="inlineStr">
        <is>
          <t>Tarea</t>
        </is>
      </c>
      <c r="F46" s="3" t="inlineStr">
        <is>
          <t>Validar matriz RLS de Supabase para asegurar que tablas, RPC y permisos públicos/autenticados mantengan el modelo de acceso previsto. | Iteración 1.9.0 (2026-06-16): v1.9: service_role policies + linter remediation v2.</t>
        </is>
      </c>
      <c r="G46" s="3" t="inlineStr">
        <is>
          <t>Supabase / RLS</t>
        </is>
      </c>
    </row>
    <row r="47" ht="42" customHeight="1">
      <c r="A47" s="4" t="inlineStr">
        <is>
          <t>BOLT-WEB-046</t>
        </is>
      </c>
      <c r="B47" s="4" t="inlineStr">
        <is>
          <t>MP-11</t>
        </is>
      </c>
      <c r="C47" s="4" t="inlineStr">
        <is>
          <t>Implementar Auditoría / PII (web 1.9.0)</t>
        </is>
      </c>
      <c r="D47" s="4" t="inlineStr">
        <is>
          <t>Desarrollador</t>
        </is>
      </c>
      <c r="E47" s="4" t="inlineStr">
        <is>
          <t>Tarea</t>
        </is>
      </c>
      <c r="F47" s="4" t="inlineStr">
        <is>
          <t>Redactar PII en auditoría histórica y en inserciones nuevas para evitar exposición de DNI, correos, teléfonos, direcciones y nombres personales. | Iteración 1.9.0 (2026-06-16): v1.9: auditoría PII enmascarada en logs.</t>
        </is>
      </c>
      <c r="G47" s="4" t="inlineStr">
        <is>
          <t>Auditoría / PII</t>
        </is>
      </c>
    </row>
    <row r="48" ht="42" customHeight="1">
      <c r="A48" s="3" t="inlineStr">
        <is>
          <t>BOLT-WEB-047</t>
        </is>
      </c>
      <c r="B48" s="3" t="inlineStr">
        <is>
          <t>MP-05</t>
        </is>
      </c>
      <c r="C48" s="3" t="inlineStr">
        <is>
          <t>Implementar Pedidos / Estados (web 1.8.0)</t>
        </is>
      </c>
      <c r="D48" s="3" t="inlineStr">
        <is>
          <t>Desarrollador</t>
        </is>
      </c>
      <c r="E48" s="3" t="inlineStr">
        <is>
          <t>Tarea</t>
        </is>
      </c>
      <c r="F48" s="3" t="inlineStr">
        <is>
          <t>Mantener una máquina de estados única para pedidos, usada tanto por BFF como por Cloud Functions heredadas, evitando transiciones inválidas. | Iteración 1.8.0 (2026-06-12): v1.8: detalle pedido admin con datos cliente y enlace mapa.</t>
        </is>
      </c>
      <c r="G48" s="3" t="inlineStr">
        <is>
          <t>Pedidos / Estados</t>
        </is>
      </c>
    </row>
    <row r="49" ht="42" customHeight="1">
      <c r="A49" s="4" t="inlineStr">
        <is>
          <t>BOLT-WEB-048</t>
        </is>
      </c>
      <c r="B49" s="4" t="inlineStr">
        <is>
          <t>MP-10</t>
        </is>
      </c>
      <c r="C49" s="4" t="inlineStr">
        <is>
          <t>Implementar BFF / Rate limit (web 1.9.0)</t>
        </is>
      </c>
      <c r="D49" s="4" t="inlineStr">
        <is>
          <t>Desarrollador</t>
        </is>
      </c>
      <c r="E49" s="4" t="inlineStr">
        <is>
          <t>Tarea</t>
        </is>
      </c>
      <c r="F49" s="4" t="inlineStr">
        <is>
          <t>Aplicar rate limiting e identificación de IP de cliente para reducir abuso en endpoints públicos como login, DNI, catálogo y cotización de entrega. | Iteración 1.9.0 (2026-06-16): RLS, BFF fail-closed, ZAP prod, rate limit, auditoría PII.</t>
        </is>
      </c>
      <c r="G49" s="4" t="inlineStr">
        <is>
          <t>BFF / Rate limit</t>
        </is>
      </c>
    </row>
    <row r="50" ht="42" customHeight="1">
      <c r="A50" s="3" t="inlineStr">
        <is>
          <t>BOLT-WEB-049</t>
        </is>
      </c>
      <c r="B50" s="3" t="inlineStr">
        <is>
          <t>MP-08</t>
        </is>
      </c>
      <c r="C50" s="3" t="inlineStr">
        <is>
          <t>Implementar Trabajador / Ventas (web 1.3.0)</t>
        </is>
      </c>
      <c r="D50" s="3" t="inlineStr">
        <is>
          <t>Desarrollador</t>
        </is>
      </c>
      <c r="E50" s="3" t="inlineStr">
        <is>
          <t>Tarea</t>
        </is>
      </c>
      <c r="F50" s="3" t="inlineStr">
        <is>
          <t>Permitir ventas físicas al trabajador con panel acotado, validación de stock por talla y registro atómico de venta. | Iteración 1.3.0 (2026-05-19): Ventas diarias, devoluciones, panel staff/trabajador.</t>
        </is>
      </c>
      <c r="G50" s="3" t="inlineStr">
        <is>
          <t>Trabajador / Ventas</t>
        </is>
      </c>
    </row>
    <row r="51" ht="42" customHeight="1">
      <c r="A51" s="4" t="inlineStr">
        <is>
          <t>BOLT-WEB-050</t>
        </is>
      </c>
      <c r="B51" s="4" t="inlineStr">
        <is>
          <t>MP-06</t>
        </is>
      </c>
      <c r="C51" s="4" t="inlineStr">
        <is>
          <t>Implementar Público / Registro (web 1.6.0)</t>
        </is>
      </c>
      <c r="D51" s="4" t="inlineStr">
        <is>
          <t>Desarrollador</t>
        </is>
      </c>
      <c r="E51" s="4" t="inlineStr">
        <is>
          <t>Tarea</t>
        </is>
      </c>
      <c r="F51" s="4" t="inlineStr">
        <is>
          <t>Registrar usuarios con validaciones de DNI, correo, celular, contraseña y confirmación, mostrando errores accesibles por campo. | Iteración 1.6.0 (2026-05-31): Registro, perfil, favoritos, DNI pgcrypto, App Check.</t>
        </is>
      </c>
      <c r="G51" s="4" t="inlineStr">
        <is>
          <t>Público / Registro</t>
        </is>
      </c>
    </row>
    <row r="52" ht="42" customHeight="1">
      <c r="A52" s="3" t="inlineStr">
        <is>
          <t>BOLT-WEB-051</t>
        </is>
      </c>
      <c r="B52" s="3" t="inlineStr">
        <is>
          <t>MP-10</t>
        </is>
      </c>
      <c r="C52" s="3" t="inlineStr">
        <is>
          <t>Implementar Firebase / App Check (web 1.9.0)</t>
        </is>
      </c>
      <c r="D52" s="3" t="inlineStr">
        <is>
          <t>Desarrollador</t>
        </is>
      </c>
      <c r="E52" s="3" t="inlineStr">
        <is>
          <t>Tarea</t>
        </is>
      </c>
      <c r="F52" s="3" t="inlineStr">
        <is>
          <t>Validar App Check y reCAPTCHA en producción para proteger endpoints de identidad sin subir secretos privados al frontend. | Iteración 1.9.0 (2026-06-16): RLS, BFF fail-closed, ZAP prod, rate limit, auditoría PII.</t>
        </is>
      </c>
      <c r="G52" s="3" t="inlineStr">
        <is>
          <t>Firebase / App Check</t>
        </is>
      </c>
    </row>
    <row r="53" ht="42" customHeight="1">
      <c r="A53" s="4" t="inlineStr">
        <is>
          <t>BOLT-WEB-052</t>
        </is>
      </c>
      <c r="B53" s="4" t="inlineStr">
        <is>
          <t>MP-13</t>
        </is>
      </c>
      <c r="C53" s="4" t="inlineStr">
        <is>
          <t>Implementar DevOps / Continuidad (web 1.9.0)</t>
        </is>
      </c>
      <c r="D53" s="4" t="inlineStr">
        <is>
          <t>Desarrollador</t>
        </is>
      </c>
      <c r="E53" s="4" t="inlineStr">
        <is>
          <t>Tarea</t>
        </is>
      </c>
      <c r="F53" s="4" t="inlineStr">
        <is>
          <t>Ejecutar controles de continuidad operativa con readiness checks, restore drill versionado y evidencia de recuperación. | Iteración 1.9.0 (2026-06-16): v1.9: continuidad ops documentada post drill.</t>
        </is>
      </c>
      <c r="G53" s="4" t="inlineStr">
        <is>
          <t>DevOps / Continuidad</t>
        </is>
      </c>
    </row>
    <row r="54" ht="42" customHeight="1">
      <c r="A54" s="3" t="inlineStr">
        <is>
          <t>BOLT-WEB-053</t>
        </is>
      </c>
      <c r="B54" s="3" t="inlineStr">
        <is>
          <t>MP-12</t>
        </is>
      </c>
      <c r="C54" s="3" t="inlineStr">
        <is>
          <t>Implementar IA / Gobierno de modelo (web 1.7.0)</t>
        </is>
      </c>
      <c r="D54" s="3" t="inlineStr">
        <is>
          <t>Desarrollador / Admin</t>
        </is>
      </c>
      <c r="E54" s="3" t="inlineStr">
        <is>
          <t>Tarea</t>
        </is>
      </c>
      <c r="F54" s="3" t="inlineStr">
        <is>
          <t>Controlar backtesting, suficiencia de datos, reporte de calidad y métricas de predicción para que la IA sea auditable. | Iteración 1.7.0 (2026-06-08): v1.7: ai-backtest-gate + data_sufficient + model card.</t>
        </is>
      </c>
      <c r="G54" s="3" t="inlineStr">
        <is>
          <t>IA / Gobierno de modelo</t>
        </is>
      </c>
    </row>
    <row r="55" ht="42" customHeight="1">
      <c r="A55" s="4" t="inlineStr">
        <is>
          <t>BOLT-WEB-054</t>
        </is>
      </c>
      <c r="B55" s="4" t="inlineStr">
        <is>
          <t>MP-13</t>
        </is>
      </c>
      <c r="C55" s="4" t="inlineStr">
        <is>
          <t>Implementar Calidad / Sonar (web 1.9.0)</t>
        </is>
      </c>
      <c r="D55" s="4" t="inlineStr">
        <is>
          <t>Desarrollador</t>
        </is>
      </c>
      <c r="E55" s="4" t="inlineStr">
        <is>
          <t>Tarea</t>
        </is>
      </c>
      <c r="F55" s="4" t="inlineStr">
        <is>
          <t>Mantener calidad estática mediante ESLint, TypeScript, Sonar preflight, cobertura y correcciones de smells críticos antes de desplegar. | Iteración 1.9.0 (2026-06-16): v1.9: SonarQube + mantenibilidad 100% verificable.</t>
        </is>
      </c>
      <c r="G55" s="4" t="inlineStr">
        <is>
          <t>Calidad / Sonar</t>
        </is>
      </c>
    </row>
    <row r="56" ht="42" customHeight="1">
      <c r="A56" s="3" t="inlineStr">
        <is>
          <t>BOLT-WEB-055</t>
        </is>
      </c>
      <c r="B56" s="3" t="inlineStr">
        <is>
          <t>MP-14</t>
        </is>
      </c>
      <c r="C56" s="3" t="inlineStr">
        <is>
          <t>Implementar Público / Campañas (web 1.7.0)</t>
        </is>
      </c>
      <c r="D56" s="3" t="inlineStr">
        <is>
          <t>Desarrollador</t>
        </is>
      </c>
      <c r="E56" s="3" t="inlineStr">
        <is>
          <t>Tarea</t>
        </is>
      </c>
      <c r="F56" s="3" t="inlineStr">
        <is>
          <t>Administrar landings de campaña, carruseles y estanterías promocionales para Cyber Wow, Club Calzado, outlet y nueva temporada. | Iteración 1.7.0 (2026-06-08): v1.7: landings públicas campaña comercial.</t>
        </is>
      </c>
      <c r="G56" s="3" t="inlineStr">
        <is>
          <t>Público / Campañas</t>
        </is>
      </c>
    </row>
    <row r="57" ht="42" customHeight="1">
      <c r="A57" s="4" t="inlineStr">
        <is>
          <t>BOLT-IA-001</t>
        </is>
      </c>
      <c r="B57" s="4" t="inlineStr">
        <is>
          <t>MP-12</t>
        </is>
      </c>
      <c r="C57" s="4" t="inlineStr">
        <is>
          <t>Implementar ai-service / API (web 1.7.0)</t>
        </is>
      </c>
      <c r="D57" s="4" t="inlineStr">
        <is>
          <t>Desarrollador</t>
        </is>
      </c>
      <c r="E57" s="4" t="inlineStr">
        <is>
          <t>Tarea</t>
        </is>
      </c>
      <c r="F57" s="4" t="inlineStr">
        <is>
          <t>Exponer API FastAPI de predicción combinada, demanda, IRE y alertas de stock. | Iteración 1.7.0 (2026-06-08): FastAPI combined + campaign endpoints Render.</t>
        </is>
      </c>
      <c r="G57" s="4" t="inlineStr">
        <is>
          <t>ai-service / API</t>
        </is>
      </c>
    </row>
    <row r="58" ht="42" customHeight="1">
      <c r="A58" s="3" t="inlineStr">
        <is>
          <t>BOLT-IA-002</t>
        </is>
      </c>
      <c r="B58" s="3" t="inlineStr">
        <is>
          <t>MP-12</t>
        </is>
      </c>
      <c r="C58" s="3" t="inlineStr">
        <is>
          <t>Implementar ai-service / IRE (web 1.7.0)</t>
        </is>
      </c>
      <c r="D58" s="3" t="inlineStr">
        <is>
          <t>Desarrollador</t>
        </is>
      </c>
      <c r="E58" s="3" t="inlineStr">
        <is>
          <t>Tarea</t>
        </is>
      </c>
      <c r="F58" s="3" t="inlineStr">
        <is>
          <t>Calcular IRE 0-100 con dimensiones stock/ingresos/demanda y niveles de riesgo. | Iteración 1.7.0 (2026-06-08): IRE v1.2 fórmula 40/35/25 + proyección horizonte.</t>
        </is>
      </c>
      <c r="G58" s="3" t="inlineStr">
        <is>
          <t>ai-service / IRE</t>
        </is>
      </c>
    </row>
    <row r="59" ht="42" customHeight="1">
      <c r="A59" s="4" t="inlineStr">
        <is>
          <t>BOLT-IA-003</t>
        </is>
      </c>
      <c r="B59" s="4" t="inlineStr">
        <is>
          <t>MP-12</t>
        </is>
      </c>
      <c r="C59" s="4" t="inlineStr">
        <is>
          <t>Implementar ai-service / ML (web 1.6.0)</t>
        </is>
      </c>
      <c r="D59" s="4" t="inlineStr">
        <is>
          <t>Desarrollador</t>
        </is>
      </c>
      <c r="E59" s="4" t="inlineStr">
        <is>
          <t>Tarea</t>
        </is>
      </c>
      <c r="F59" s="4" t="inlineStr">
        <is>
          <t>Entrenar y ejecutar RandomForestRegressor para predicción de demanda por producto. | Iteración 1.6.0 (2026-05-31): Random Forest demanda + fallback conservador.</t>
        </is>
      </c>
      <c r="G59" s="4" t="inlineStr">
        <is>
          <t>ai-service / ML</t>
        </is>
      </c>
    </row>
    <row r="60" ht="42" customHeight="1">
      <c r="A60" s="3" t="inlineStr">
        <is>
          <t>BOLT-IA-004</t>
        </is>
      </c>
      <c r="B60" s="3" t="inlineStr">
        <is>
          <t>MP-12</t>
        </is>
      </c>
      <c r="C60" s="3" t="inlineStr">
        <is>
          <t>Implementar ai-service / datos (web 1.7.0)</t>
        </is>
      </c>
      <c r="D60" s="3" t="inlineStr">
        <is>
          <t>Desarrollador</t>
        </is>
      </c>
      <c r="E60" s="3" t="inlineStr">
        <is>
          <t>Tarea</t>
        </is>
      </c>
      <c r="F60" s="3" t="inlineStr">
        <is>
          <t>Persistir historial IRE, estado del modelo y lectura de ventas desde Supabase. | Iteración 1.7.0 (2026-06-08): modelo_estado + ireHistorial persistencia Supabase.</t>
        </is>
      </c>
      <c r="G60" s="3" t="inlineStr">
        <is>
          <t>ai-service / datos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38" customWidth="1" min="4" max="4"/>
    <col width="14" customWidth="1" min="5" max="5"/>
    <col width="14" customWidth="1" min="6" max="6"/>
    <col width="28" customWidth="1" min="7" max="7"/>
  </cols>
  <sheetData>
    <row r="1" ht="36" customHeight="1">
      <c r="A1" s="2" t="inlineStr">
        <is>
          <t>ID_NODO</t>
        </is>
      </c>
      <c r="B1" s="2" t="inlineStr">
        <is>
          <t>ID_PROCESO</t>
        </is>
      </c>
      <c r="C1" s="2" t="inlineStr">
        <is>
          <t>TIPO_NODO(EVENTO/GATEWAY/ACTIVIDAD)</t>
        </is>
      </c>
      <c r="D1" s="2" t="inlineStr">
        <is>
          <t>NOMBRE</t>
        </is>
      </c>
      <c r="E1" s="2" t="inlineStr">
        <is>
          <t>NODO_ORIGEN</t>
        </is>
      </c>
      <c r="F1" s="2" t="inlineStr">
        <is>
          <t>NODO_DESTINO</t>
        </is>
      </c>
      <c r="G1" s="2" t="inlineStr">
        <is>
          <t>CONDICION</t>
        </is>
      </c>
    </row>
    <row r="2" ht="42" customHeight="1">
      <c r="A2" s="3" t="inlineStr">
        <is>
          <t>N-IA-01</t>
        </is>
      </c>
      <c r="B2" s="3" t="inlineStr">
        <is>
          <t>MP-12</t>
        </is>
      </c>
      <c r="C2" s="3" t="inlineStr">
        <is>
          <t>EVENTO</t>
        </is>
      </c>
      <c r="D2" s="3" t="inlineStr">
        <is>
          <t>Inicio solicitud de predicción</t>
        </is>
      </c>
      <c r="E2" s="3" t="inlineStr"/>
      <c r="F2" s="3" t="inlineStr">
        <is>
          <t>N-IA-02</t>
        </is>
      </c>
      <c r="G2" s="3" t="inlineStr"/>
    </row>
    <row r="3" ht="42" customHeight="1">
      <c r="A3" s="4" t="inlineStr">
        <is>
          <t>N-IA-02</t>
        </is>
      </c>
      <c r="B3" s="4" t="inlineStr">
        <is>
          <t>MP-12</t>
        </is>
      </c>
      <c r="C3" s="4" t="inlineStr">
        <is>
          <t>ACTIVIDAD</t>
        </is>
      </c>
      <c r="D3" s="4" t="inlineStr">
        <is>
          <t>Recolectar ventasDiarias y pedidos pagados</t>
        </is>
      </c>
      <c r="E3" s="4" t="inlineStr">
        <is>
          <t>N-IA-01</t>
        </is>
      </c>
      <c r="F3" s="4" t="inlineStr">
        <is>
          <t>N-IA-03</t>
        </is>
      </c>
      <c r="G3" s="4" t="inlineStr"/>
    </row>
    <row r="4" ht="42" customHeight="1">
      <c r="A4" s="3" t="inlineStr">
        <is>
          <t>N-IA-03</t>
        </is>
      </c>
      <c r="B4" s="3" t="inlineStr">
        <is>
          <t>MP-12</t>
        </is>
      </c>
      <c r="C4" s="3" t="inlineStr">
        <is>
          <t>GATEWAY</t>
        </is>
      </c>
      <c r="D4" s="3" t="inlineStr">
        <is>
          <t>¿Datos suficientes para modelo?</t>
        </is>
      </c>
      <c r="E4" s="3" t="inlineStr">
        <is>
          <t>N-IA-02</t>
        </is>
      </c>
      <c r="F4" s="3" t="inlineStr">
        <is>
          <t>N-IA-04</t>
        </is>
      </c>
      <c r="G4" s="3" t="inlineStr">
        <is>
          <t>Sí</t>
        </is>
      </c>
    </row>
    <row r="5" ht="42" customHeight="1">
      <c r="A5" s="4" t="inlineStr">
        <is>
          <t>N-IA-04</t>
        </is>
      </c>
      <c r="B5" s="4" t="inlineStr">
        <is>
          <t>MP-12</t>
        </is>
      </c>
      <c r="C5" s="4" t="inlineStr">
        <is>
          <t>ACTIVIDAD</t>
        </is>
      </c>
      <c r="D5" s="4" t="inlineStr">
        <is>
          <t>Entrenar/ejecutar Random Forest de demanda</t>
        </is>
      </c>
      <c r="E5" s="4" t="inlineStr">
        <is>
          <t>N-IA-03</t>
        </is>
      </c>
      <c r="F5" s="4" t="inlineStr">
        <is>
          <t>N-IA-05</t>
        </is>
      </c>
      <c r="G5" s="4" t="inlineStr"/>
    </row>
    <row r="6" ht="42" customHeight="1">
      <c r="A6" s="3" t="inlineStr">
        <is>
          <t>N-IA-05</t>
        </is>
      </c>
      <c r="B6" s="3" t="inlineStr">
        <is>
          <t>MP-12</t>
        </is>
      </c>
      <c r="C6" s="3" t="inlineStr">
        <is>
          <t>ACTIVIDAD</t>
        </is>
      </c>
      <c r="D6" s="3" t="inlineStr">
        <is>
          <t>Calcular forecast de ingresos</t>
        </is>
      </c>
      <c r="E6" s="3" t="inlineStr">
        <is>
          <t>N-IA-04</t>
        </is>
      </c>
      <c r="F6" s="3" t="inlineStr">
        <is>
          <t>N-IA-06</t>
        </is>
      </c>
      <c r="G6" s="3" t="inlineStr"/>
    </row>
    <row r="7" ht="42" customHeight="1">
      <c r="A7" s="4" t="inlineStr">
        <is>
          <t>N-IA-06</t>
        </is>
      </c>
      <c r="B7" s="4" t="inlineStr">
        <is>
          <t>MP-12</t>
        </is>
      </c>
      <c r="C7" s="4" t="inlineStr">
        <is>
          <t>ACTIVIDAD</t>
        </is>
      </c>
      <c r="D7" s="4" t="inlineStr">
        <is>
          <t>Calcular IRE y alertas de stock</t>
        </is>
      </c>
      <c r="E7" s="4" t="inlineStr">
        <is>
          <t>N-IA-05</t>
        </is>
      </c>
      <c r="F7" s="4" t="inlineStr">
        <is>
          <t>N-IA-07</t>
        </is>
      </c>
      <c r="G7" s="4" t="inlineStr"/>
    </row>
    <row r="8" ht="42" customHeight="1">
      <c r="A8" s="3" t="inlineStr">
        <is>
          <t>N-IA-07</t>
        </is>
      </c>
      <c r="B8" s="3" t="inlineStr">
        <is>
          <t>MP-12</t>
        </is>
      </c>
      <c r="C8" s="3" t="inlineStr">
        <is>
          <t>ACTIVIDAD</t>
        </is>
      </c>
      <c r="D8" s="3" t="inlineStr">
        <is>
          <t>Persistir ireHistorial y modelo_estado</t>
        </is>
      </c>
      <c r="E8" s="3" t="inlineStr">
        <is>
          <t>N-IA-06</t>
        </is>
      </c>
      <c r="F8" s="3" t="inlineStr">
        <is>
          <t>N-IA-08</t>
        </is>
      </c>
      <c r="G8" s="3" t="inlineStr"/>
    </row>
    <row r="9" ht="42" customHeight="1">
      <c r="A9" s="4" t="inlineStr">
        <is>
          <t>N-IA-08</t>
        </is>
      </c>
      <c r="B9" s="4" t="inlineStr">
        <is>
          <t>MP-12</t>
        </is>
      </c>
      <c r="C9" s="4" t="inlineStr">
        <is>
          <t>ACTIVIDAD</t>
        </is>
      </c>
      <c r="D9" s="4" t="inlineStr">
        <is>
          <t>Mostrar dashboard admin de predicciones</t>
        </is>
      </c>
      <c r="E9" s="4" t="inlineStr">
        <is>
          <t>N-IA-07</t>
        </is>
      </c>
      <c r="F9" s="4" t="inlineStr">
        <is>
          <t>N-IA-09</t>
        </is>
      </c>
      <c r="G9" s="4" t="inlineStr"/>
    </row>
    <row r="10" ht="42" customHeight="1">
      <c r="A10" s="3" t="inlineStr">
        <is>
          <t>N-IA-09</t>
        </is>
      </c>
      <c r="B10" s="3" t="inlineStr">
        <is>
          <t>MP-12</t>
        </is>
      </c>
      <c r="C10" s="3" t="inlineStr">
        <is>
          <t>EVENTO</t>
        </is>
      </c>
      <c r="D10" s="3" t="inlineStr">
        <is>
          <t>Fin — decisión comercial asistida</t>
        </is>
      </c>
      <c r="E10" s="3" t="inlineStr">
        <is>
          <t>N-IA-08</t>
        </is>
      </c>
      <c r="F10" s="3" t="inlineStr"/>
      <c r="G10" s="3" t="inlineStr"/>
    </row>
    <row r="11" ht="42" customHeight="1">
      <c r="A11" s="4" t="inlineStr">
        <is>
          <t>N-IA-03B</t>
        </is>
      </c>
      <c r="B11" s="4" t="inlineStr">
        <is>
          <t>MP-12</t>
        </is>
      </c>
      <c r="C11" s="4" t="inlineStr">
        <is>
          <t>ACTIVIDAD</t>
        </is>
      </c>
      <c r="D11" s="4" t="inlineStr">
        <is>
          <t>Emitir aviso data_sufficient=false (cold start)</t>
        </is>
      </c>
      <c r="E11" s="4" t="inlineStr">
        <is>
          <t>N-IA-03</t>
        </is>
      </c>
      <c r="F11" s="4" t="inlineStr">
        <is>
          <t>N-IA-09</t>
        </is>
      </c>
      <c r="G11" s="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2" customWidth="1" min="3" max="3"/>
    <col width="10" customWidth="1" min="4" max="4"/>
    <col width="10" customWidth="1" min="5" max="5"/>
    <col width="12" customWidth="1" min="6" max="6"/>
    <col width="16" customWidth="1" min="7" max="7"/>
  </cols>
  <sheetData>
    <row r="1" ht="36" customHeight="1">
      <c r="A1" s="2" t="inlineStr">
        <is>
          <t>ID_REQUERIMIENTO</t>
        </is>
      </c>
      <c r="B1" s="2" t="inlineStr">
        <is>
          <t>TIPO(RF/RNF)</t>
        </is>
      </c>
      <c r="C1" s="2" t="inlineStr">
        <is>
          <t>DESCRIPCION</t>
        </is>
      </c>
      <c r="D1" s="2" t="inlineStr">
        <is>
          <t>PRIORIDAD</t>
        </is>
      </c>
      <c r="E1" s="2" t="inlineStr">
        <is>
          <t>PMV</t>
        </is>
      </c>
      <c r="F1" s="2" t="inlineStr">
        <is>
          <t>ESTADO</t>
        </is>
      </c>
      <c r="G1" s="2" t="inlineStr">
        <is>
          <t>ID_BOLT_RELACIONADO</t>
        </is>
      </c>
    </row>
    <row r="2" ht="42" customHeight="1">
      <c r="A2" s="3" t="inlineStr">
        <is>
          <t>RF-001</t>
        </is>
      </c>
      <c r="B2" s="3" t="inlineStr">
        <is>
          <t>RF</t>
        </is>
      </c>
      <c r="C2" s="3" t="inlineStr">
        <is>
          <t>El sistema debe mostrar catálogo público de calzado con filtros y detalle de producto.</t>
        </is>
      </c>
      <c r="D2" s="3" t="inlineStr">
        <is>
          <t>Alta</t>
        </is>
      </c>
      <c r="E2" s="3" t="inlineStr">
        <is>
          <t>PMV-01</t>
        </is>
      </c>
      <c r="F2" s="3" t="inlineStr">
        <is>
          <t>PRODUCCION</t>
        </is>
      </c>
      <c r="G2" s="3" t="inlineStr">
        <is>
          <t>BOLT-WEB-003</t>
        </is>
      </c>
    </row>
    <row r="3" ht="42" customHeight="1">
      <c r="A3" s="4" t="inlineStr">
        <is>
          <t>RF-002</t>
        </is>
      </c>
      <c r="B3" s="4" t="inlineStr">
        <is>
          <t>RF</t>
        </is>
      </c>
      <c r="C3" s="4" t="inlineStr">
        <is>
          <t>El sistema debe gestionar carrito por sesión y checkout con validación de stock.</t>
        </is>
      </c>
      <c r="D3" s="4" t="inlineStr">
        <is>
          <t>Alta</t>
        </is>
      </c>
      <c r="E3" s="4" t="inlineStr">
        <is>
          <t>PMV-02</t>
        </is>
      </c>
      <c r="F3" s="4" t="inlineStr">
        <is>
          <t>PRODUCCION</t>
        </is>
      </c>
      <c r="G3" s="4" t="inlineStr">
        <is>
          <t>BOLT-WEB-005</t>
        </is>
      </c>
    </row>
    <row r="4" ht="42" customHeight="1">
      <c r="A4" s="3" t="inlineStr">
        <is>
          <t>RF-003</t>
        </is>
      </c>
      <c r="B4" s="3" t="inlineStr">
        <is>
          <t>RF</t>
        </is>
      </c>
      <c r="C4" s="3" t="inlineStr">
        <is>
          <t>El sistema debe procesar pagos Stripe y contraentrega con confirmación de pedido.</t>
        </is>
      </c>
      <c r="D4" s="3" t="inlineStr">
        <is>
          <t>Alta</t>
        </is>
      </c>
      <c r="E4" s="3" t="inlineStr">
        <is>
          <t>PMV-02</t>
        </is>
      </c>
      <c r="F4" s="3" t="inlineStr">
        <is>
          <t>PRODUCCION</t>
        </is>
      </c>
      <c r="G4" s="3" t="inlineStr">
        <is>
          <t>BOLT-WEB-019</t>
        </is>
      </c>
    </row>
    <row r="5" ht="42" customHeight="1">
      <c r="A5" s="4" t="inlineStr">
        <is>
          <t>RF-004</t>
        </is>
      </c>
      <c r="B5" s="4" t="inlineStr">
        <is>
          <t>RF</t>
        </is>
      </c>
      <c r="C5" s="4" t="inlineStr">
        <is>
          <t>El sistema debe registrar ventas físicas diarias, devoluciones y documentos de venta.</t>
        </is>
      </c>
      <c r="D5" s="4" t="inlineStr">
        <is>
          <t>Alta</t>
        </is>
      </c>
      <c r="E5" s="4" t="inlineStr">
        <is>
          <t>PMV-03</t>
        </is>
      </c>
      <c r="F5" s="4" t="inlineStr">
        <is>
          <t>PRODUCCION</t>
        </is>
      </c>
      <c r="G5" s="4" t="inlineStr">
        <is>
          <t>BOLT-WEB-014</t>
        </is>
      </c>
    </row>
    <row r="6" ht="42" customHeight="1">
      <c r="A6" s="3" t="inlineStr">
        <is>
          <t>RF-005</t>
        </is>
      </c>
      <c r="B6" s="3" t="inlineStr">
        <is>
          <t>RF</t>
        </is>
      </c>
      <c r="C6" s="3" t="inlineStr">
        <is>
          <t>El sistema debe administrar productos, stock, finanzas y fabricantes desde panel admin.</t>
        </is>
      </c>
      <c r="D6" s="3" t="inlineStr">
        <is>
          <t>Alta</t>
        </is>
      </c>
      <c r="E6" s="3" t="inlineStr">
        <is>
          <t>PMV-04</t>
        </is>
      </c>
      <c r="F6" s="3" t="inlineStr">
        <is>
          <t>PRODUCCION</t>
        </is>
      </c>
      <c r="G6" s="3" t="inlineStr">
        <is>
          <t>BOLT-WEB-010</t>
        </is>
      </c>
    </row>
    <row r="7" ht="42" customHeight="1">
      <c r="A7" s="4" t="inlineStr">
        <is>
          <t>RF-006</t>
        </is>
      </c>
      <c r="B7" s="4" t="inlineStr">
        <is>
          <t>RF</t>
        </is>
      </c>
      <c r="C7" s="4" t="inlineStr">
        <is>
          <t>El sistema debe calcular y mostrar el IRE con variables, fórmula y nivel de riesgo.</t>
        </is>
      </c>
      <c r="D7" s="4" t="inlineStr">
        <is>
          <t>Alta</t>
        </is>
      </c>
      <c r="E7" s="4" t="inlineStr">
        <is>
          <t>PMV-05</t>
        </is>
      </c>
      <c r="F7" s="4" t="inlineStr">
        <is>
          <t>PRODUCCION</t>
        </is>
      </c>
      <c r="G7" s="4" t="inlineStr">
        <is>
          <t>BOLT-WEB-024</t>
        </is>
      </c>
    </row>
    <row r="8" ht="42" customHeight="1">
      <c r="A8" s="3" t="inlineStr">
        <is>
          <t>RF-007</t>
        </is>
      </c>
      <c r="B8" s="3" t="inlineStr">
        <is>
          <t>RF</t>
        </is>
      </c>
      <c r="C8" s="3" t="inlineStr">
        <is>
          <t>El sistema debe predecir demanda por producto y alertar quiebres de stock.</t>
        </is>
      </c>
      <c r="D8" s="3" t="inlineStr">
        <is>
          <t>Alta</t>
        </is>
      </c>
      <c r="E8" s="3" t="inlineStr">
        <is>
          <t>PMV-05</t>
        </is>
      </c>
      <c r="F8" s="3" t="inlineStr">
        <is>
          <t>PRODUCCION</t>
        </is>
      </c>
      <c r="G8" s="3" t="inlineStr">
        <is>
          <t>BOLT-IA-001</t>
        </is>
      </c>
    </row>
    <row r="9" ht="42" customHeight="1">
      <c r="A9" s="4" t="inlineStr">
        <is>
          <t>RF-008</t>
        </is>
      </c>
      <c r="B9" s="4" t="inlineStr">
        <is>
          <t>RF</t>
        </is>
      </c>
      <c r="C9" s="4" t="inlineStr">
        <is>
          <t>El sistema debe importar y exportar datos comerciales mediante plantillas Excel.</t>
        </is>
      </c>
      <c r="D9" s="4" t="inlineStr">
        <is>
          <t>Media</t>
        </is>
      </c>
      <c r="E9" s="4" t="inlineStr">
        <is>
          <t>PMV-04</t>
        </is>
      </c>
      <c r="F9" s="4" t="inlineStr">
        <is>
          <t>PRODUCCION</t>
        </is>
      </c>
      <c r="G9" s="4" t="inlineStr">
        <is>
          <t>BOLT-WEB-016</t>
        </is>
      </c>
    </row>
    <row r="10" ht="42" customHeight="1">
      <c r="A10" s="3" t="inlineStr">
        <is>
          <t>RNF-001</t>
        </is>
      </c>
      <c r="B10" s="3" t="inlineStr">
        <is>
          <t>RNF</t>
        </is>
      </c>
      <c r="C10" s="3" t="inlineStr">
        <is>
          <t>El sistema debe aplicar RLS en Supabase y operaciones sensibles solo vía BFF.</t>
        </is>
      </c>
      <c r="D10" s="3" t="inlineStr">
        <is>
          <t>Alta</t>
        </is>
      </c>
      <c r="E10" s="3" t="inlineStr">
        <is>
          <t>PMV-06</t>
        </is>
      </c>
      <c r="F10" s="3" t="inlineStr">
        <is>
          <t>PRODUCCION</t>
        </is>
      </c>
      <c r="G10" s="3" t="inlineStr">
        <is>
          <t>BOLT-WEB-022</t>
        </is>
      </c>
    </row>
    <row r="11" ht="42" customHeight="1">
      <c r="A11" s="4" t="inlineStr">
        <is>
          <t>RNF-002</t>
        </is>
      </c>
      <c r="B11" s="4" t="inlineStr">
        <is>
          <t>RNF</t>
        </is>
      </c>
      <c r="C11" s="4" t="inlineStr">
        <is>
          <t>El servicio IA debe autenticarse con Bearer token y no exponer secretos al cliente.</t>
        </is>
      </c>
      <c r="D11" s="4" t="inlineStr">
        <is>
          <t>Alta</t>
        </is>
      </c>
      <c r="E11" s="4" t="inlineStr">
        <is>
          <t>PMV-05</t>
        </is>
      </c>
      <c r="F11" s="4" t="inlineStr">
        <is>
          <t>PRODUCCION</t>
        </is>
      </c>
      <c r="G11" s="4" t="inlineStr">
        <is>
          <t>BOLT-IA-001</t>
        </is>
      </c>
    </row>
    <row r="12" ht="42" customHeight="1">
      <c r="A12" s="3" t="inlineStr">
        <is>
          <t>RNF-003</t>
        </is>
      </c>
      <c r="B12" s="3" t="inlineStr">
        <is>
          <t>RNF</t>
        </is>
      </c>
      <c r="C12" s="3" t="inlineStr">
        <is>
          <t>El pipeline CI/CD debe ejecutar lint, typecheck, tests y gates antes de despliegue.</t>
        </is>
      </c>
      <c r="D12" s="3" t="inlineStr">
        <is>
          <t>Alta</t>
        </is>
      </c>
      <c r="E12" s="3" t="inlineStr">
        <is>
          <t>PMV-06</t>
        </is>
      </c>
      <c r="F12" s="3" t="inlineStr">
        <is>
          <t>PRODUCCION</t>
        </is>
      </c>
      <c r="G12" s="3" t="inlineStr">
        <is>
          <t>BOLT-WEB-025</t>
        </is>
      </c>
    </row>
    <row r="13" ht="42" customHeight="1">
      <c r="A13" s="4" t="inlineStr">
        <is>
          <t>RNF-004</t>
        </is>
      </c>
      <c r="B13" s="4" t="inlineStr">
        <is>
          <t>RNF</t>
        </is>
      </c>
      <c r="C13" s="4" t="inlineStr">
        <is>
          <t>El módulo IA debe registrar backtesting, suficiencia de datos y calidad del modelo.</t>
        </is>
      </c>
      <c r="D13" s="4" t="inlineStr">
        <is>
          <t>Alta</t>
        </is>
      </c>
      <c r="E13" s="4" t="inlineStr">
        <is>
          <t>PMV-05</t>
        </is>
      </c>
      <c r="F13" s="4" t="inlineStr">
        <is>
          <t>PRODUCCION</t>
        </is>
      </c>
      <c r="G13" s="4" t="inlineStr">
        <is>
          <t>BOLT-WEB-053</t>
        </is>
      </c>
    </row>
    <row r="14" ht="42" customHeight="1">
      <c r="A14" s="3" t="inlineStr">
        <is>
          <t>RNF-005</t>
        </is>
      </c>
      <c r="B14" s="3" t="inlineStr">
        <is>
          <t>RNF</t>
        </is>
      </c>
      <c r="C14" s="3" t="inlineStr">
        <is>
          <t>La aplicación debe cumplir controles de seguridad OWASP ZAP sin alertas altas.</t>
        </is>
      </c>
      <c r="D14" s="3" t="inlineStr">
        <is>
          <t>Alta</t>
        </is>
      </c>
      <c r="E14" s="3" t="inlineStr">
        <is>
          <t>PMV-06</t>
        </is>
      </c>
      <c r="F14" s="3" t="inlineStr">
        <is>
          <t>PRODUCCION</t>
        </is>
      </c>
      <c r="G14" s="3" t="inlineStr">
        <is>
          <t>BOLT-WEB-021</t>
        </is>
      </c>
    </row>
    <row r="15" ht="42" customHeight="1">
      <c r="A15" s="4" t="inlineStr">
        <is>
          <t>RNF-006</t>
        </is>
      </c>
      <c r="B15" s="4" t="inlineStr">
        <is>
          <t>RNF</t>
        </is>
      </c>
      <c r="C15" s="4" t="inlineStr">
        <is>
          <t>Los datos personales deben minimizarse, enmascararse y protegerse según Ley 29733.</t>
        </is>
      </c>
      <c r="D15" s="4" t="inlineStr">
        <is>
          <t>Alta</t>
        </is>
      </c>
      <c r="E15" s="4" t="inlineStr">
        <is>
          <t>PMV-06</t>
        </is>
      </c>
      <c r="F15" s="4" t="inlineStr">
        <is>
          <t>PRODUCCION</t>
        </is>
      </c>
      <c r="G15" s="4" t="inlineStr">
        <is>
          <t>BOLT-WEB-023</t>
        </is>
      </c>
    </row>
    <row r="16" ht="42" customHeight="1">
      <c r="A16" s="3" t="inlineStr">
        <is>
          <t>RNF-007</t>
        </is>
      </c>
      <c r="B16" s="3" t="inlineStr">
        <is>
          <t>RNF</t>
        </is>
      </c>
      <c r="C16" s="3" t="inlineStr">
        <is>
          <t>El IRE debe ser explicable: fórmula 40/35/25, contribuciones y niveles documentados.</t>
        </is>
      </c>
      <c r="D16" s="3" t="inlineStr">
        <is>
          <t>Alta</t>
        </is>
      </c>
      <c r="E16" s="3" t="inlineStr">
        <is>
          <t>PMV-05</t>
        </is>
      </c>
      <c r="F16" s="3" t="inlineStr">
        <is>
          <t>PRODUCCION</t>
        </is>
      </c>
      <c r="G16" s="3" t="inlineStr">
        <is>
          <t>BOLT-IA-002</t>
        </is>
      </c>
    </row>
    <row r="17" ht="42" customHeight="1">
      <c r="A17" s="4" t="inlineStr">
        <is>
          <t>RNF-008</t>
        </is>
      </c>
      <c r="B17" s="4" t="inlineStr">
        <is>
          <t>RNF</t>
        </is>
      </c>
      <c r="C17" s="4" t="inlineStr">
        <is>
          <t>Ante data_sufficient=false el sistema debe bloquear proyecciones ML y mostrar aviso operativo.</t>
        </is>
      </c>
      <c r="D17" s="4" t="inlineStr">
        <is>
          <t>Alta</t>
        </is>
      </c>
      <c r="E17" s="4" t="inlineStr">
        <is>
          <t>PMV-05</t>
        </is>
      </c>
      <c r="F17" s="4" t="inlineStr">
        <is>
          <t>PRODUCCION</t>
        </is>
      </c>
      <c r="G17" s="4" t="inlineStr">
        <is>
          <t>BOLT-WEB-053</t>
        </is>
      </c>
    </row>
    <row r="18" ht="42" customHeight="1">
      <c r="A18" s="3" t="inlineStr">
        <is>
          <t>RNF-009</t>
        </is>
      </c>
      <c r="B18" s="3" t="inlineStr">
        <is>
          <t>RNF</t>
        </is>
      </c>
      <c r="C18" s="3" t="inlineStr">
        <is>
          <t>Debe registrarse historial IRE y modelo_estado con versionado y trazabilidad auditable.</t>
        </is>
      </c>
      <c r="D18" s="3" t="inlineStr">
        <is>
          <t>Alta</t>
        </is>
      </c>
      <c r="E18" s="3" t="inlineStr">
        <is>
          <t>PMV-05</t>
        </is>
      </c>
      <c r="F18" s="3" t="inlineStr">
        <is>
          <t>PRODUCCION</t>
        </is>
      </c>
      <c r="G18" s="3" t="inlineStr">
        <is>
          <t>BOLT-IA-004</t>
        </is>
      </c>
    </row>
    <row r="19" ht="42" customHeight="1">
      <c r="A19" s="4" t="inlineStr">
        <is>
          <t>RNF-010</t>
        </is>
      </c>
      <c r="B19" s="4" t="inlineStr">
        <is>
          <t>RNF</t>
        </is>
      </c>
      <c r="C19" s="4" t="inlineStr">
        <is>
          <t>Decisiones admin sobre campañas IA requieren feedback humano (confirmar/rechazar detección).</t>
        </is>
      </c>
      <c r="D19" s="4" t="inlineStr">
        <is>
          <t>Media</t>
        </is>
      </c>
      <c r="E19" s="4" t="inlineStr">
        <is>
          <t>PMV-05</t>
        </is>
      </c>
      <c r="F19" s="4" t="inlineStr">
        <is>
          <t>PRODUCCION</t>
        </is>
      </c>
      <c r="G19" s="4" t="inlineStr">
        <is>
          <t>BOLT-WEB-024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28" customWidth="1" min="5" max="5"/>
    <col width="12" customWidth="1" min="6" max="6"/>
    <col width="14" customWidth="1" min="7" max="7"/>
    <col width="12" customWidth="1" min="8" max="8"/>
    <col width="22" customWidth="1" min="9" max="9"/>
    <col width="28" customWidth="1" min="10" max="10"/>
    <col width="14" customWidth="1" min="11" max="11"/>
    <col width="10" customWidth="1" min="12" max="12"/>
    <col width="24" customWidth="1" min="13" max="13"/>
    <col width="8" customWidth="1" min="14" max="14"/>
    <col width="8" customWidth="1" min="15" max="15"/>
    <col width="48" customWidth="1" min="16" max="16"/>
  </cols>
  <sheetData>
    <row r="1" ht="36" customHeight="1">
      <c r="A1" s="2" t="inlineStr">
        <is>
          <t>ID_REGISTRO</t>
        </is>
      </c>
      <c r="B1" s="2" t="inlineStr">
        <is>
          <t>ID_BOLT</t>
        </is>
      </c>
      <c r="C1" s="2" t="inlineStr">
        <is>
          <t>BOLT_PADRE</t>
        </is>
      </c>
      <c r="D1" s="2" t="inlineStr">
        <is>
          <t>VERSION</t>
        </is>
      </c>
      <c r="E1" s="2" t="inlineStr">
        <is>
          <t>TIPO_CAMBIO</t>
        </is>
      </c>
      <c r="F1" s="2" t="inlineStr">
        <is>
          <t>ESTADO_BOLT</t>
        </is>
      </c>
      <c r="G1" s="2" t="inlineStr">
        <is>
          <t>ESTADO_INTEGRACION</t>
        </is>
      </c>
      <c r="H1" s="2" t="inlineStr">
        <is>
          <t>FECHA</t>
        </is>
      </c>
      <c r="I1" s="2" t="inlineStr">
        <is>
          <t>RESPONSABLE</t>
        </is>
      </c>
      <c r="J1" s="2" t="inlineStr">
        <is>
          <t>AGENTE_RESPONSABLE</t>
        </is>
      </c>
      <c r="K1" s="2" t="inlineStr">
        <is>
          <t>COMMIT</t>
        </is>
      </c>
      <c r="L1" s="2" t="inlineStr">
        <is>
          <t>PULL_REQUEST</t>
        </is>
      </c>
      <c r="M1" s="2" t="inlineStr">
        <is>
          <t>FUENTE</t>
        </is>
      </c>
      <c r="N1" s="2" t="inlineStr">
        <is>
          <t>CONFIANZA</t>
        </is>
      </c>
      <c r="O1" s="2" t="inlineStr">
        <is>
          <t>REQUIERE_REVISION_HUMANA</t>
        </is>
      </c>
      <c r="P1" s="2" t="inlineStr">
        <is>
          <t>OBSERVACIONES</t>
        </is>
      </c>
    </row>
    <row r="2" ht="42" customHeight="1">
      <c r="A2" s="3" t="inlineStr">
        <is>
          <t>CV-001</t>
        </is>
      </c>
      <c r="B2" s="3" t="inlineStr">
        <is>
          <t>BOLT-WEB-001</t>
        </is>
      </c>
      <c r="C2" s="3" t="inlineStr"/>
      <c r="D2" s="3" t="inlineStr">
        <is>
          <t>1.9.0</t>
        </is>
      </c>
      <c r="E2" s="3" t="inlineStr">
        <is>
          <t>Web 1.9.0 — Alcance SRS + trazabilidad ISO 25000 y documentación tesis integrada.</t>
        </is>
      </c>
      <c r="F2" s="3" t="inlineStr">
        <is>
          <t>PRODUCCION</t>
        </is>
      </c>
      <c r="G2" s="3" t="inlineStr">
        <is>
          <t>INTEGRADO</t>
        </is>
      </c>
      <c r="H2" s="3" t="inlineStr">
        <is>
          <t>2026-06-16</t>
        </is>
      </c>
      <c r="I2" s="3" t="inlineStr">
        <is>
          <t>Serpa Sedano Yeferson Wilson</t>
        </is>
      </c>
      <c r="J2" s="3" t="inlineStr">
        <is>
          <t>Cursor Agent / revisión técnica automatizada</t>
        </is>
      </c>
      <c r="K2" s="3" t="inlineStr">
        <is>
          <t>main@1.9.0</t>
        </is>
      </c>
      <c r="L2" s="3" t="inlineStr"/>
      <c r="M2" s="3" t="inlineStr">
        <is>
          <t>Repositorio Calzatura Vilchez V3</t>
        </is>
      </c>
      <c r="N2" s="3" t="inlineStr">
        <is>
          <t>Alta</t>
        </is>
      </c>
      <c r="O2" s="3" t="inlineStr">
        <is>
          <t>No</t>
        </is>
      </c>
      <c r="P2" s="3" t="inlineStr">
        <is>
          <t>Registro empresarial realista; alcance limitado al sistema web comercial y a sus servicios de soporte.</t>
        </is>
      </c>
    </row>
    <row r="3" ht="42" customHeight="1">
      <c r="A3" s="4" t="inlineStr">
        <is>
          <t>CV-002</t>
        </is>
      </c>
      <c r="B3" s="4" t="inlineStr">
        <is>
          <t>BOLT-WEB-002</t>
        </is>
      </c>
      <c r="C3" s="4" t="inlineStr"/>
      <c r="D3" s="4" t="inlineStr">
        <is>
          <t>1.5.0</t>
        </is>
      </c>
      <c r="E3" s="4" t="inlineStr">
        <is>
          <t>Web 1.5.0 — Home, landings campañas y navegación pública estable.</t>
        </is>
      </c>
      <c r="F3" s="4" t="inlineStr">
        <is>
          <t>PRODUCCION</t>
        </is>
      </c>
      <c r="G3" s="4" t="inlineStr">
        <is>
          <t>INTEGRADO</t>
        </is>
      </c>
      <c r="H3" s="4" t="inlineStr">
        <is>
          <t>2026-05-26</t>
        </is>
      </c>
      <c r="I3" s="4" t="inlineStr">
        <is>
          <t>Serpa Sedano Yeferson Wilson</t>
        </is>
      </c>
      <c r="J3" s="4" t="inlineStr">
        <is>
          <t>Cursor Agent / revisión técnica automatizada</t>
        </is>
      </c>
      <c r="K3" s="4" t="inlineStr">
        <is>
          <t>main@1.5.0</t>
        </is>
      </c>
      <c r="L3" s="4" t="inlineStr"/>
      <c r="M3" s="4" t="inlineStr">
        <is>
          <t>Repositorio Calzatura Vilchez V3</t>
        </is>
      </c>
      <c r="N3" s="4" t="inlineStr">
        <is>
          <t>Alta</t>
        </is>
      </c>
      <c r="O3" s="4" t="inlineStr">
        <is>
          <t>No</t>
        </is>
      </c>
      <c r="P3" s="4" t="inlineStr">
        <is>
          <t>Incluye tildes, ñ, navegación y controles accesibles.</t>
        </is>
      </c>
    </row>
    <row r="4" ht="42" customHeight="1">
      <c r="A4" s="3" t="inlineStr">
        <is>
          <t>CV-003</t>
        </is>
      </c>
      <c r="B4" s="3" t="inlineStr">
        <is>
          <t>BOLT-WEB-003</t>
        </is>
      </c>
      <c r="C4" s="3" t="inlineStr"/>
      <c r="D4" s="3" t="inlineStr">
        <is>
          <t>1.7.0</t>
        </is>
      </c>
      <c r="E4" s="3" t="inlineStr">
        <is>
          <t>Web 1.7.0 — Catálogo, variantes, imágenes Cloudinary, campaña en productos.</t>
        </is>
      </c>
      <c r="F4" s="3" t="inlineStr">
        <is>
          <t>PRODUCCION</t>
        </is>
      </c>
      <c r="G4" s="3" t="inlineStr">
        <is>
          <t>INTEGRADO</t>
        </is>
      </c>
      <c r="H4" s="3" t="inlineStr">
        <is>
          <t>2026-06-08</t>
        </is>
      </c>
      <c r="I4" s="3" t="inlineStr">
        <is>
          <t>Serpa Sedano Yeferson Wilson</t>
        </is>
      </c>
      <c r="J4" s="3" t="inlineStr">
        <is>
          <t>Cursor Agent / revisión técnica automatizada</t>
        </is>
      </c>
      <c r="K4" s="3" t="inlineStr">
        <is>
          <t>main@1.7.0</t>
        </is>
      </c>
      <c r="L4" s="3" t="inlineStr"/>
      <c r="M4" s="3" t="inlineStr">
        <is>
          <t>Repositorio Calzatura Vilchez V3</t>
        </is>
      </c>
      <c r="N4" s="3" t="inlineStr">
        <is>
          <t>Alta</t>
        </is>
      </c>
      <c r="O4" s="3" t="inlineStr">
        <is>
          <t>No</t>
        </is>
      </c>
      <c r="P4" s="3" t="inlineStr">
        <is>
          <t>Control de calidad de datos por ISO/IEC 25012.</t>
        </is>
      </c>
    </row>
    <row r="5" ht="42" customHeight="1">
      <c r="A5" s="4" t="inlineStr">
        <is>
          <t>CV-004</t>
        </is>
      </c>
      <c r="B5" s="4" t="inlineStr">
        <is>
          <t>BOLT-WEB-004</t>
        </is>
      </c>
      <c r="C5" s="4" t="inlineStr"/>
      <c r="D5" s="4" t="inlineStr">
        <is>
          <t>1.7.0</t>
        </is>
      </c>
      <c r="E5" s="4" t="inlineStr">
        <is>
          <t>Web 1.7.0 — Catálogo, variantes, imágenes Cloudinary, campaña en productos.</t>
        </is>
      </c>
      <c r="F5" s="4" t="inlineStr">
        <is>
          <t>PRODUCCION</t>
        </is>
      </c>
      <c r="G5" s="4" t="inlineStr">
        <is>
          <t>INTEGRADO</t>
        </is>
      </c>
      <c r="H5" s="4" t="inlineStr">
        <is>
          <t>2026-06-08</t>
        </is>
      </c>
      <c r="I5" s="4" t="inlineStr">
        <is>
          <t>Serpa Sedano Yeferson Wilson</t>
        </is>
      </c>
      <c r="J5" s="4" t="inlineStr">
        <is>
          <t>Cursor Agent / revisión técnica automatizada</t>
        </is>
      </c>
      <c r="K5" s="4" t="inlineStr">
        <is>
          <t>main@1.7.0</t>
        </is>
      </c>
      <c r="L5" s="4" t="inlineStr"/>
      <c r="M5" s="4" t="inlineStr">
        <is>
          <t>Repositorio Calzatura Vilchez V3</t>
        </is>
      </c>
      <c r="N5" s="4" t="inlineStr">
        <is>
          <t>Alta</t>
        </is>
      </c>
      <c r="O5" s="4" t="inlineStr">
        <is>
          <t>No</t>
        </is>
      </c>
      <c r="P5" s="4" t="inlineStr">
        <is>
          <t>Queda en VERDE por evidencia de código y prueba.</t>
        </is>
      </c>
    </row>
    <row r="6" ht="42" customHeight="1">
      <c r="A6" s="3" t="inlineStr">
        <is>
          <t>CV-005</t>
        </is>
      </c>
      <c r="B6" s="3" t="inlineStr">
        <is>
          <t>BOLT-WEB-005</t>
        </is>
      </c>
      <c r="C6" s="3" t="inlineStr"/>
      <c r="D6" s="3" t="inlineStr">
        <is>
          <t>1.8.0</t>
        </is>
      </c>
      <c r="E6" s="3" t="inlineStr">
        <is>
          <t>Web 1.8.0 — Carrito, checkout Stripe/COD, entrega geocodificada ORS.</t>
        </is>
      </c>
      <c r="F6" s="3" t="inlineStr">
        <is>
          <t>PRODUCCION</t>
        </is>
      </c>
      <c r="G6" s="3" t="inlineStr">
        <is>
          <t>INTEGRADO</t>
        </is>
      </c>
      <c r="H6" s="3" t="inlineStr">
        <is>
          <t>2026-06-12</t>
        </is>
      </c>
      <c r="I6" s="3" t="inlineStr">
        <is>
          <t>Serpa Sedano Yeferson Wilson</t>
        </is>
      </c>
      <c r="J6" s="3" t="inlineStr">
        <is>
          <t>Cursor Agent / revisión técnica automatizada</t>
        </is>
      </c>
      <c r="K6" s="3" t="inlineStr">
        <is>
          <t>main@1.8.0</t>
        </is>
      </c>
      <c r="L6" s="3" t="inlineStr"/>
      <c r="M6" s="3" t="inlineStr">
        <is>
          <t>Repositorio Calzatura Vilchez V3</t>
        </is>
      </c>
      <c r="N6" s="3" t="inlineStr">
        <is>
          <t>Alta</t>
        </is>
      </c>
      <c r="O6" s="3" t="inlineStr">
        <is>
          <t>No</t>
        </is>
      </c>
      <c r="P6" s="3" t="inlineStr">
        <is>
          <t>Control alineado con ISO/IEC 27701.</t>
        </is>
      </c>
    </row>
    <row r="7" ht="42" customHeight="1">
      <c r="A7" s="4" t="inlineStr">
        <is>
          <t>CV-006</t>
        </is>
      </c>
      <c r="B7" s="4" t="inlineStr">
        <is>
          <t>BOLT-WEB-006</t>
        </is>
      </c>
      <c r="C7" s="4" t="inlineStr"/>
      <c r="D7" s="4" t="inlineStr">
        <is>
          <t>1.8.0</t>
        </is>
      </c>
      <c r="E7" s="4" t="inlineStr">
        <is>
          <t>Web 1.8.0 — Carrito, checkout Stripe/COD, entrega geocodificada ORS.</t>
        </is>
      </c>
      <c r="F7" s="4" t="inlineStr">
        <is>
          <t>PRODUCCION</t>
        </is>
      </c>
      <c r="G7" s="4" t="inlineStr">
        <is>
          <t>INTEGRADO</t>
        </is>
      </c>
      <c r="H7" s="4" t="inlineStr">
        <is>
          <t>2026-06-12</t>
        </is>
      </c>
      <c r="I7" s="4" t="inlineStr">
        <is>
          <t>Serpa Sedano Yeferson Wilson</t>
        </is>
      </c>
      <c r="J7" s="4" t="inlineStr">
        <is>
          <t>Cursor Agent / revisión técnica automatizada</t>
        </is>
      </c>
      <c r="K7" s="4" t="inlineStr">
        <is>
          <t>main@1.8.0</t>
        </is>
      </c>
      <c r="L7" s="4" t="inlineStr"/>
      <c r="M7" s="4" t="inlineStr">
        <is>
          <t>Repositorio Calzatura Vilchez V3</t>
        </is>
      </c>
      <c r="N7" s="4" t="inlineStr">
        <is>
          <t>Alta</t>
        </is>
      </c>
      <c r="O7" s="4" t="inlineStr">
        <is>
          <t>No</t>
        </is>
      </c>
      <c r="P7" s="4" t="inlineStr">
        <is>
          <t>Control transaccional en VERDE.</t>
        </is>
      </c>
    </row>
    <row r="8" ht="42" customHeight="1">
      <c r="A8" s="3" t="inlineStr">
        <is>
          <t>CV-007</t>
        </is>
      </c>
      <c r="B8" s="3" t="inlineStr">
        <is>
          <t>BOLT-WEB-007</t>
        </is>
      </c>
      <c r="C8" s="3" t="inlineStr"/>
      <c r="D8" s="3" t="inlineStr">
        <is>
          <t>1.9.0</t>
        </is>
      </c>
      <c r="E8" s="3" t="inlineStr">
        <is>
          <t>Web 1.9.0 — Pedidos cliente/admin, mapa, PKCS#7, búsqueda y paginación.</t>
        </is>
      </c>
      <c r="F8" s="3" t="inlineStr">
        <is>
          <t>PRODUCCION</t>
        </is>
      </c>
      <c r="G8" s="3" t="inlineStr">
        <is>
          <t>INTEGRADO</t>
        </is>
      </c>
      <c r="H8" s="3" t="inlineStr">
        <is>
          <t>2026-06-16</t>
        </is>
      </c>
      <c r="I8" s="3" t="inlineStr">
        <is>
          <t>Serpa Sedano Yeferson Wilson</t>
        </is>
      </c>
      <c r="J8" s="3" t="inlineStr">
        <is>
          <t>Cursor Agent / revisión técnica automatizada</t>
        </is>
      </c>
      <c r="K8" s="3" t="inlineStr">
        <is>
          <t>main@1.9.0</t>
        </is>
      </c>
      <c r="L8" s="3" t="inlineStr"/>
      <c r="M8" s="3" t="inlineStr">
        <is>
          <t>Repositorio Calzatura Vilchez V3</t>
        </is>
      </c>
      <c r="N8" s="3" t="inlineStr">
        <is>
          <t>Alta</t>
        </is>
      </c>
      <c r="O8" s="3" t="inlineStr">
        <is>
          <t>No</t>
        </is>
      </c>
      <c r="P8" s="3" t="inlineStr">
        <is>
          <t>Carrito no se limpia si el pedido no carga.</t>
        </is>
      </c>
    </row>
    <row r="9" ht="42" customHeight="1">
      <c r="A9" s="4" t="inlineStr">
        <is>
          <t>CV-008</t>
        </is>
      </c>
      <c r="B9" s="4" t="inlineStr">
        <is>
          <t>BOLT-WEB-008</t>
        </is>
      </c>
      <c r="C9" s="4" t="inlineStr"/>
      <c r="D9" s="4" t="inlineStr">
        <is>
          <t>1.6.0</t>
        </is>
      </c>
      <c r="E9" s="4" t="inlineStr">
        <is>
          <t>Web 1.6.0 — Registro, perfil, favoritos, DNI pgcrypto, App Check.</t>
        </is>
      </c>
      <c r="F9" s="4" t="inlineStr">
        <is>
          <t>PRODUCCION</t>
        </is>
      </c>
      <c r="G9" s="4" t="inlineStr">
        <is>
          <t>INTEGRADO</t>
        </is>
      </c>
      <c r="H9" s="4" t="inlineStr">
        <is>
          <t>2026-05-31</t>
        </is>
      </c>
      <c r="I9" s="4" t="inlineStr">
        <is>
          <t>Serpa Sedano Yeferson Wilson</t>
        </is>
      </c>
      <c r="J9" s="4" t="inlineStr">
        <is>
          <t>Cursor Agent / revisión técnica automatizada</t>
        </is>
      </c>
      <c r="K9" s="4" t="inlineStr">
        <is>
          <t>main@1.6.0</t>
        </is>
      </c>
      <c r="L9" s="4" t="inlineStr"/>
      <c r="M9" s="4" t="inlineStr">
        <is>
          <t>Repositorio Calzatura Vilchez V3</t>
        </is>
      </c>
      <c r="N9" s="4" t="inlineStr">
        <is>
          <t>Alta</t>
        </is>
      </c>
      <c r="O9" s="4" t="inlineStr">
        <is>
          <t>No</t>
        </is>
      </c>
      <c r="P9" s="4" t="inlineStr">
        <is>
          <t>No se debe subir secret al frontend.</t>
        </is>
      </c>
    </row>
    <row r="10" ht="42" customHeight="1">
      <c r="A10" s="3" t="inlineStr">
        <is>
          <t>CV-009</t>
        </is>
      </c>
      <c r="B10" s="3" t="inlineStr">
        <is>
          <t>BOLT-WEB-009</t>
        </is>
      </c>
      <c r="C10" s="3" t="inlineStr"/>
      <c r="D10" s="3" t="inlineStr">
        <is>
          <t>1.6.0</t>
        </is>
      </c>
      <c r="E10" s="3" t="inlineStr">
        <is>
          <t>Web 1.6.0 — Registro, perfil, favoritos, DNI pgcrypto, App Check.</t>
        </is>
      </c>
      <c r="F10" s="3" t="inlineStr">
        <is>
          <t>PRODUCCION</t>
        </is>
      </c>
      <c r="G10" s="3" t="inlineStr">
        <is>
          <t>INTEGRADO</t>
        </is>
      </c>
      <c r="H10" s="3" t="inlineStr">
        <is>
          <t>2026-05-31</t>
        </is>
      </c>
      <c r="I10" s="3" t="inlineStr">
        <is>
          <t>Serpa Sedano Yeferson Wilson</t>
        </is>
      </c>
      <c r="J10" s="3" t="inlineStr">
        <is>
          <t>Cursor Agent / revisión técnica automatizada</t>
        </is>
      </c>
      <c r="K10" s="3" t="inlineStr">
        <is>
          <t>main@1.6.0</t>
        </is>
      </c>
      <c r="L10" s="3" t="inlineStr"/>
      <c r="M10" s="3" t="inlineStr">
        <is>
          <t>Repositorio Calzatura Vilchez V3</t>
        </is>
      </c>
      <c r="N10" s="3" t="inlineStr">
        <is>
          <t>Alta</t>
        </is>
      </c>
      <c r="O10" s="3" t="inlineStr">
        <is>
          <t>No</t>
        </is>
      </c>
      <c r="P10" s="3" t="inlineStr">
        <is>
          <t>Sin exposición directa de DNI completo en tabla admin.</t>
        </is>
      </c>
    </row>
    <row r="11" ht="42" customHeight="1">
      <c r="A11" s="4" t="inlineStr">
        <is>
          <t>CV-010</t>
        </is>
      </c>
      <c r="B11" s="4" t="inlineStr">
        <is>
          <t>BOLT-WEB-010</t>
        </is>
      </c>
      <c r="C11" s="4" t="inlineStr"/>
      <c r="D11" s="4" t="inlineStr">
        <is>
          <t>1.8.0</t>
        </is>
      </c>
      <c r="E11" s="4" t="inlineStr">
        <is>
          <t>Web 1.8.0 — Dashboard admin, productos, stock, finanzas, fabricantes BFF.</t>
        </is>
      </c>
      <c r="F11" s="4" t="inlineStr">
        <is>
          <t>PRODUCCION</t>
        </is>
      </c>
      <c r="G11" s="4" t="inlineStr">
        <is>
          <t>INTEGRADO</t>
        </is>
      </c>
      <c r="H11" s="4" t="inlineStr">
        <is>
          <t>2026-06-12</t>
        </is>
      </c>
      <c r="I11" s="4" t="inlineStr">
        <is>
          <t>Serpa Sedano Yeferson Wilson</t>
        </is>
      </c>
      <c r="J11" s="4" t="inlineStr">
        <is>
          <t>Cursor Agent / revisión técnica automatizada</t>
        </is>
      </c>
      <c r="K11" s="4" t="inlineStr">
        <is>
          <t>main@1.8.0</t>
        </is>
      </c>
      <c r="L11" s="4" t="inlineStr"/>
      <c r="M11" s="4" t="inlineStr">
        <is>
          <t>Repositorio Calzatura Vilchez V3</t>
        </is>
      </c>
      <c r="N11" s="4" t="inlineStr">
        <is>
          <t>Alta</t>
        </is>
      </c>
      <c r="O11" s="4" t="inlineStr">
        <is>
          <t>No</t>
        </is>
      </c>
      <c r="P11" s="4" t="inlineStr">
        <is>
          <t>Incluye códigos únicos y stock por talla/color.</t>
        </is>
      </c>
    </row>
    <row r="12" ht="42" customHeight="1">
      <c r="A12" s="3" t="inlineStr">
        <is>
          <t>CV-011</t>
        </is>
      </c>
      <c r="B12" s="3" t="inlineStr">
        <is>
          <t>BOLT-WEB-011</t>
        </is>
      </c>
      <c r="C12" s="3" t="inlineStr"/>
      <c r="D12" s="3" t="inlineStr">
        <is>
          <t>1.8.0</t>
        </is>
      </c>
      <c r="E12" s="3" t="inlineStr">
        <is>
          <t>Web 1.8.0 — Dashboard admin, productos, stock, finanzas, fabricantes BFF.</t>
        </is>
      </c>
      <c r="F12" s="3" t="inlineStr">
        <is>
          <t>PRODUCCION</t>
        </is>
      </c>
      <c r="G12" s="3" t="inlineStr">
        <is>
          <t>INTEGRADO</t>
        </is>
      </c>
      <c r="H12" s="3" t="inlineStr">
        <is>
          <t>2026-06-12</t>
        </is>
      </c>
      <c r="I12" s="3" t="inlineStr">
        <is>
          <t>Serpa Sedano Yeferson Wilson</t>
        </is>
      </c>
      <c r="J12" s="3" t="inlineStr">
        <is>
          <t>Cursor Agent / revisión técnica automatizada</t>
        </is>
      </c>
      <c r="K12" s="3" t="inlineStr">
        <is>
          <t>main@1.8.0</t>
        </is>
      </c>
      <c r="L12" s="3" t="inlineStr"/>
      <c r="M12" s="3" t="inlineStr">
        <is>
          <t>Repositorio Calzatura Vilchez V3</t>
        </is>
      </c>
      <c r="N12" s="3" t="inlineStr">
        <is>
          <t>Alta</t>
        </is>
      </c>
      <c r="O12" s="3" t="inlineStr">
        <is>
          <t>No</t>
        </is>
      </c>
      <c r="P12" s="3" t="inlineStr">
        <is>
          <t>Evita stock negativo y doble descuento.</t>
        </is>
      </c>
    </row>
    <row r="13" ht="42" customHeight="1">
      <c r="A13" s="4" t="inlineStr">
        <is>
          <t>CV-012</t>
        </is>
      </c>
      <c r="B13" s="4" t="inlineStr">
        <is>
          <t>BOLT-WEB-012</t>
        </is>
      </c>
      <c r="C13" s="4" t="inlineStr"/>
      <c r="D13" s="4" t="inlineStr">
        <is>
          <t>1.8.0</t>
        </is>
      </c>
      <c r="E13" s="4" t="inlineStr">
        <is>
          <t>Web 1.8.0 — v1.8: listado admin pedidos con búsqueda, paginación y mapa entrega.</t>
        </is>
      </c>
      <c r="F13" s="4" t="inlineStr">
        <is>
          <t>PRODUCCION</t>
        </is>
      </c>
      <c r="G13" s="4" t="inlineStr">
        <is>
          <t>INTEGRADO</t>
        </is>
      </c>
      <c r="H13" s="4" t="inlineStr">
        <is>
          <t>2026-06-12</t>
        </is>
      </c>
      <c r="I13" s="4" t="inlineStr">
        <is>
          <t>Serpa Sedano Yeferson Wilson</t>
        </is>
      </c>
      <c r="J13" s="4" t="inlineStr">
        <is>
          <t>Cursor Agent / revisión técnica automatizada</t>
        </is>
      </c>
      <c r="K13" s="4" t="inlineStr">
        <is>
          <t>main@1.8.0</t>
        </is>
      </c>
      <c r="L13" s="4" t="inlineStr"/>
      <c r="M13" s="4" t="inlineStr">
        <is>
          <t>Repositorio Calzatura Vilchez V3</t>
        </is>
      </c>
      <c r="N13" s="4" t="inlineStr">
        <is>
          <t>Alta</t>
        </is>
      </c>
      <c r="O13" s="4" t="inlineStr">
        <is>
          <t>No</t>
        </is>
      </c>
      <c r="P13" s="4" t="inlineStr">
        <is>
          <t>Estado final protegido.</t>
        </is>
      </c>
    </row>
    <row r="14" ht="42" customHeight="1">
      <c r="A14" s="3" t="inlineStr">
        <is>
          <t>CV-013</t>
        </is>
      </c>
      <c r="B14" s="3" t="inlineStr">
        <is>
          <t>BOLT-WEB-013</t>
        </is>
      </c>
      <c r="C14" s="3" t="inlineStr"/>
      <c r="D14" s="3" t="inlineStr">
        <is>
          <t>1.8.0</t>
        </is>
      </c>
      <c r="E14" s="3" t="inlineStr">
        <is>
          <t>Web 1.8.0 — Dashboard admin, productos, stock, finanzas, fabricantes BFF.</t>
        </is>
      </c>
      <c r="F14" s="3" t="inlineStr">
        <is>
          <t>PRODUCCION</t>
        </is>
      </c>
      <c r="G14" s="3" t="inlineStr">
        <is>
          <t>INTEGRADO</t>
        </is>
      </c>
      <c r="H14" s="3" t="inlineStr">
        <is>
          <t>2026-06-12</t>
        </is>
      </c>
      <c r="I14" s="3" t="inlineStr">
        <is>
          <t>Serpa Sedano Yeferson Wilson</t>
        </is>
      </c>
      <c r="J14" s="3" t="inlineStr">
        <is>
          <t>Cursor Agent / revisión técnica automatizada</t>
        </is>
      </c>
      <c r="K14" s="3" t="inlineStr">
        <is>
          <t>main@1.8.0</t>
        </is>
      </c>
      <c r="L14" s="3" t="inlineStr"/>
      <c r="M14" s="3" t="inlineStr">
        <is>
          <t>Repositorio Calzatura Vilchez V3</t>
        </is>
      </c>
      <c r="N14" s="3" t="inlineStr">
        <is>
          <t>Alta</t>
        </is>
      </c>
      <c r="O14" s="3" t="inlineStr">
        <is>
          <t>No</t>
        </is>
      </c>
      <c r="P14" s="3" t="inlineStr">
        <is>
          <t>PII no se usa como etiqueta principal de auditoría.</t>
        </is>
      </c>
    </row>
    <row r="15" ht="42" customHeight="1">
      <c r="A15" s="4" t="inlineStr">
        <is>
          <t>CV-014</t>
        </is>
      </c>
      <c r="B15" s="4" t="inlineStr">
        <is>
          <t>BOLT-WEB-014</t>
        </is>
      </c>
      <c r="C15" s="4" t="inlineStr"/>
      <c r="D15" s="4" t="inlineStr">
        <is>
          <t>1.3.0</t>
        </is>
      </c>
      <c r="E15" s="4" t="inlineStr">
        <is>
          <t>Web 1.3.0 — Ventas diarias, devoluciones, panel staff/trabajador.</t>
        </is>
      </c>
      <c r="F15" s="4" t="inlineStr">
        <is>
          <t>PRODUCCION</t>
        </is>
      </c>
      <c r="G15" s="4" t="inlineStr">
        <is>
          <t>INTEGRADO</t>
        </is>
      </c>
      <c r="H15" s="4" t="inlineStr">
        <is>
          <t>2026-05-19</t>
        </is>
      </c>
      <c r="I15" s="4" t="inlineStr">
        <is>
          <t>Serpa Sedano Yeferson Wilson</t>
        </is>
      </c>
      <c r="J15" s="4" t="inlineStr">
        <is>
          <t>Cursor Agent / revisión técnica automatizada</t>
        </is>
      </c>
      <c r="K15" s="4" t="inlineStr">
        <is>
          <t>main@1.3.0</t>
        </is>
      </c>
      <c r="L15" s="4" t="inlineStr"/>
      <c r="M15" s="4" t="inlineStr">
        <is>
          <t>Repositorio Calzatura Vilchez V3</t>
        </is>
      </c>
      <c r="N15" s="4" t="inlineStr">
        <is>
          <t>Alta</t>
        </is>
      </c>
      <c r="O15" s="4" t="inlineStr">
        <is>
          <t>No</t>
        </is>
      </c>
      <c r="P15" s="4" t="inlineStr">
        <is>
          <t>Control de precio y stock operativo.</t>
        </is>
      </c>
    </row>
    <row r="16" ht="42" customHeight="1">
      <c r="A16" s="3" t="inlineStr">
        <is>
          <t>CV-015</t>
        </is>
      </c>
      <c r="B16" s="3" t="inlineStr">
        <is>
          <t>BOLT-WEB-015</t>
        </is>
      </c>
      <c r="C16" s="3" t="inlineStr"/>
      <c r="D16" s="3" t="inlineStr">
        <is>
          <t>1.3.0</t>
        </is>
      </c>
      <c r="E16" s="3" t="inlineStr">
        <is>
          <t>Web 1.3.0 — Ventas diarias, devoluciones, panel staff/trabajador.</t>
        </is>
      </c>
      <c r="F16" s="3" t="inlineStr">
        <is>
          <t>PRODUCCION</t>
        </is>
      </c>
      <c r="G16" s="3" t="inlineStr">
        <is>
          <t>INTEGRADO</t>
        </is>
      </c>
      <c r="H16" s="3" t="inlineStr">
        <is>
          <t>2026-05-19</t>
        </is>
      </c>
      <c r="I16" s="3" t="inlineStr">
        <is>
          <t>Serpa Sedano Yeferson Wilson</t>
        </is>
      </c>
      <c r="J16" s="3" t="inlineStr">
        <is>
          <t>Cursor Agent / revisión técnica automatizada</t>
        </is>
      </c>
      <c r="K16" s="3" t="inlineStr">
        <is>
          <t>main@1.3.0</t>
        </is>
      </c>
      <c r="L16" s="3" t="inlineStr"/>
      <c r="M16" s="3" t="inlineStr">
        <is>
          <t>Repositorio Calzatura Vilchez V3</t>
        </is>
      </c>
      <c r="N16" s="3" t="inlineStr">
        <is>
          <t>Alta</t>
        </is>
      </c>
      <c r="O16" s="3" t="inlineStr">
        <is>
          <t>No</t>
        </is>
      </c>
      <c r="P16" s="3" t="inlineStr">
        <is>
          <t>Evita devoluciones silenciosas.</t>
        </is>
      </c>
    </row>
    <row r="17" ht="42" customHeight="1">
      <c r="A17" s="4" t="inlineStr">
        <is>
          <t>CV-016</t>
        </is>
      </c>
      <c r="B17" s="4" t="inlineStr">
        <is>
          <t>BOLT-WEB-016</t>
        </is>
      </c>
      <c r="C17" s="4" t="inlineStr"/>
      <c r="D17" s="4" t="inlineStr">
        <is>
          <t>1.2.0</t>
        </is>
      </c>
      <c r="E17" s="4" t="inlineStr">
        <is>
          <t>Web 1.2.0 — Import/export Excel, reglas comerciales, sanitización.</t>
        </is>
      </c>
      <c r="F17" s="4" t="inlineStr">
        <is>
          <t>PRODUCCION</t>
        </is>
      </c>
      <c r="G17" s="4" t="inlineStr">
        <is>
          <t>INTEGRADO</t>
        </is>
      </c>
      <c r="H17" s="4" t="inlineStr">
        <is>
          <t>2026-05-16</t>
        </is>
      </c>
      <c r="I17" s="4" t="inlineStr">
        <is>
          <t>Serpa Sedano Yeferson Wilson</t>
        </is>
      </c>
      <c r="J17" s="4" t="inlineStr">
        <is>
          <t>Cursor Agent / revisión técnica automatizada</t>
        </is>
      </c>
      <c r="K17" s="4" t="inlineStr">
        <is>
          <t>main@1.2.0</t>
        </is>
      </c>
      <c r="L17" s="4" t="inlineStr"/>
      <c r="M17" s="4" t="inlineStr">
        <is>
          <t>Repositorio Calzatura Vilchez V3</t>
        </is>
      </c>
      <c r="N17" s="4" t="inlineStr">
        <is>
          <t>Alta</t>
        </is>
      </c>
      <c r="O17" s="4" t="inlineStr">
        <is>
          <t>No</t>
        </is>
      </c>
      <c r="P17" s="4" t="inlineStr">
        <is>
          <t>No queda desactualizado frente a modelo comercial.</t>
        </is>
      </c>
    </row>
    <row r="18" ht="42" customHeight="1">
      <c r="A18" s="3" t="inlineStr">
        <is>
          <t>CV-017</t>
        </is>
      </c>
      <c r="B18" s="3" t="inlineStr">
        <is>
          <t>BOLT-WEB-017</t>
        </is>
      </c>
      <c r="C18" s="3" t="inlineStr"/>
      <c r="D18" s="3" t="inlineStr">
        <is>
          <t>1.2.0</t>
        </is>
      </c>
      <c r="E18" s="3" t="inlineStr">
        <is>
          <t>Web 1.2.0 — Import/export Excel, reglas comerciales, sanitización.</t>
        </is>
      </c>
      <c r="F18" s="3" t="inlineStr">
        <is>
          <t>PRODUCCION</t>
        </is>
      </c>
      <c r="G18" s="3" t="inlineStr">
        <is>
          <t>INTEGRADO</t>
        </is>
      </c>
      <c r="H18" s="3" t="inlineStr">
        <is>
          <t>2026-05-16</t>
        </is>
      </c>
      <c r="I18" s="3" t="inlineStr">
        <is>
          <t>Serpa Sedano Yeferson Wilson</t>
        </is>
      </c>
      <c r="J18" s="3" t="inlineStr">
        <is>
          <t>Cursor Agent / revisión técnica automatizada</t>
        </is>
      </c>
      <c r="K18" s="3" t="inlineStr">
        <is>
          <t>main@1.2.0</t>
        </is>
      </c>
      <c r="L18" s="3" t="inlineStr"/>
      <c r="M18" s="3" t="inlineStr">
        <is>
          <t>Repositorio Calzatura Vilchez V3</t>
        </is>
      </c>
      <c r="N18" s="3" t="inlineStr">
        <is>
          <t>Alta</t>
        </is>
      </c>
      <c r="O18" s="3" t="inlineStr">
        <is>
          <t>No</t>
        </is>
      </c>
      <c r="P18" s="3" t="inlineStr">
        <is>
          <t>Control en VERDE.</t>
        </is>
      </c>
    </row>
    <row r="19" ht="42" customHeight="1">
      <c r="A19" s="4" t="inlineStr">
        <is>
          <t>CV-018</t>
        </is>
      </c>
      <c r="B19" s="4" t="inlineStr">
        <is>
          <t>BOLT-WEB-018</t>
        </is>
      </c>
      <c r="C19" s="4" t="inlineStr"/>
      <c r="D19" s="4" t="inlineStr">
        <is>
          <t>1.9.0</t>
        </is>
      </c>
      <c r="E19" s="4" t="inlineStr">
        <is>
          <t>Web 1.9.0 — v1.9: auditoría admin trail + PII enforce at insert.</t>
        </is>
      </c>
      <c r="F19" s="4" t="inlineStr">
        <is>
          <t>PRODUCCION</t>
        </is>
      </c>
      <c r="G19" s="4" t="inlineStr">
        <is>
          <t>INTEGRADO</t>
        </is>
      </c>
      <c r="H19" s="4" t="inlineStr">
        <is>
          <t>2026-06-16</t>
        </is>
      </c>
      <c r="I19" s="4" t="inlineStr">
        <is>
          <t>Serpa Sedano Yeferson Wilson</t>
        </is>
      </c>
      <c r="J19" s="4" t="inlineStr">
        <is>
          <t>Cursor Agent / revisión técnica automatizada</t>
        </is>
      </c>
      <c r="K19" s="4" t="inlineStr">
        <is>
          <t>main@1.9.0</t>
        </is>
      </c>
      <c r="L19" s="4" t="inlineStr"/>
      <c r="M19" s="4" t="inlineStr">
        <is>
          <t>Repositorio Calzatura Vilchez V3</t>
        </is>
      </c>
      <c r="N19" s="4" t="inlineStr">
        <is>
          <t>Alta</t>
        </is>
      </c>
      <c r="O19" s="4" t="inlineStr">
        <is>
          <t>No</t>
        </is>
      </c>
      <c r="P19" s="4" t="inlineStr">
        <is>
          <t>Eventos críticos se registran desde operaciones reales.</t>
        </is>
      </c>
    </row>
    <row r="20" ht="42" customHeight="1">
      <c r="A20" s="3" t="inlineStr">
        <is>
          <t>CV-019</t>
        </is>
      </c>
      <c r="B20" s="3" t="inlineStr">
        <is>
          <t>BOLT-WEB-019</t>
        </is>
      </c>
      <c r="C20" s="3" t="inlineStr"/>
      <c r="D20" s="3" t="inlineStr">
        <is>
          <t>1.8.0</t>
        </is>
      </c>
      <c r="E20" s="3" t="inlineStr">
        <is>
          <t>Web 1.8.0 — Carrito, checkout Stripe/COD, entrega geocodificada ORS.</t>
        </is>
      </c>
      <c r="F20" s="3" t="inlineStr">
        <is>
          <t>PRODUCCION</t>
        </is>
      </c>
      <c r="G20" s="3" t="inlineStr">
        <is>
          <t>INTEGRADO</t>
        </is>
      </c>
      <c r="H20" s="3" t="inlineStr">
        <is>
          <t>2026-06-12</t>
        </is>
      </c>
      <c r="I20" s="3" t="inlineStr">
        <is>
          <t>Serpa Sedano Yeferson Wilson</t>
        </is>
      </c>
      <c r="J20" s="3" t="inlineStr">
        <is>
          <t>Cursor Agent / revisión técnica automatizada</t>
        </is>
      </c>
      <c r="K20" s="3" t="inlineStr">
        <is>
          <t>main@1.8.0</t>
        </is>
      </c>
      <c r="L20" s="3" t="inlineStr"/>
      <c r="M20" s="3" t="inlineStr">
        <is>
          <t>Repositorio Calzatura Vilchez V3</t>
        </is>
      </c>
      <c r="N20" s="3" t="inlineStr">
        <is>
          <t>Alta</t>
        </is>
      </c>
      <c r="O20" s="3" t="inlineStr">
        <is>
          <t>No</t>
        </is>
      </c>
      <c r="P20" s="3" t="inlineStr">
        <is>
          <t>No subir secretos al frontend.</t>
        </is>
      </c>
    </row>
    <row r="21" ht="42" customHeight="1">
      <c r="A21" s="4" t="inlineStr">
        <is>
          <t>CV-020</t>
        </is>
      </c>
      <c r="B21" s="4" t="inlineStr">
        <is>
          <t>BOLT-WEB-020</t>
        </is>
      </c>
      <c r="C21" s="4" t="inlineStr"/>
      <c r="D21" s="4" t="inlineStr">
        <is>
          <t>1.9.0</t>
        </is>
      </c>
      <c r="E21" s="4" t="inlineStr">
        <is>
          <t>Web 1.9.0 — RLS, BFF fail-closed, ZAP prod, rate limit, auditoría PII.</t>
        </is>
      </c>
      <c r="F21" s="4" t="inlineStr">
        <is>
          <t>PRODUCCION</t>
        </is>
      </c>
      <c r="G21" s="4" t="inlineStr">
        <is>
          <t>INTEGRADO</t>
        </is>
      </c>
      <c r="H21" s="4" t="inlineStr">
        <is>
          <t>2026-06-16</t>
        </is>
      </c>
      <c r="I21" s="4" t="inlineStr">
        <is>
          <t>Serpa Sedano Yeferson Wilson</t>
        </is>
      </c>
      <c r="J21" s="4" t="inlineStr">
        <is>
          <t>Cursor Agent / revisión técnica automatizada</t>
        </is>
      </c>
      <c r="K21" s="4" t="inlineStr">
        <is>
          <t>main@1.9.0</t>
        </is>
      </c>
      <c r="L21" s="4" t="inlineStr"/>
      <c r="M21" s="4" t="inlineStr">
        <is>
          <t>Repositorio Calzatura Vilchez V3</t>
        </is>
      </c>
      <c r="N21" s="4" t="inlineStr">
        <is>
          <t>Alta</t>
        </is>
      </c>
      <c r="O21" s="4" t="inlineStr">
        <is>
          <t>No</t>
        </is>
      </c>
      <c r="P21" s="4" t="inlineStr">
        <is>
          <t>Upstash opcional para producción escalada.</t>
        </is>
      </c>
    </row>
    <row r="22" ht="42" customHeight="1">
      <c r="A22" s="3" t="inlineStr">
        <is>
          <t>CV-021</t>
        </is>
      </c>
      <c r="B22" s="3" t="inlineStr">
        <is>
          <t>BOLT-WEB-021</t>
        </is>
      </c>
      <c r="C22" s="3" t="inlineStr"/>
      <c r="D22" s="3" t="inlineStr">
        <is>
          <t>1.9.0</t>
        </is>
      </c>
      <c r="E22" s="3" t="inlineStr">
        <is>
          <t>Web 1.9.0 — v1.9: ZAP production v2 + guard tests seguridad.</t>
        </is>
      </c>
      <c r="F22" s="3" t="inlineStr">
        <is>
          <t>PRODUCCION</t>
        </is>
      </c>
      <c r="G22" s="3" t="inlineStr">
        <is>
          <t>INTEGRADO</t>
        </is>
      </c>
      <c r="H22" s="3" t="inlineStr">
        <is>
          <t>2026-06-16</t>
        </is>
      </c>
      <c r="I22" s="3" t="inlineStr">
        <is>
          <t>Serpa Sedano Yeferson Wilson</t>
        </is>
      </c>
      <c r="J22" s="3" t="inlineStr">
        <is>
          <t>Cursor Agent / revisión técnica automatizada</t>
        </is>
      </c>
      <c r="K22" s="3" t="inlineStr">
        <is>
          <t>main@1.9.0</t>
        </is>
      </c>
      <c r="L22" s="3" t="inlineStr"/>
      <c r="M22" s="3" t="inlineStr">
        <is>
          <t>Repositorio Calzatura Vilchez V3</t>
        </is>
      </c>
      <c r="N22" s="3" t="inlineStr">
        <is>
          <t>Alta</t>
        </is>
      </c>
      <c r="O22" s="3" t="inlineStr">
        <is>
          <t>No</t>
        </is>
      </c>
      <c r="P22" s="3" t="inlineStr">
        <is>
          <t>No quedó nada crítico; observaciones residuales están controladas/documentadas.</t>
        </is>
      </c>
    </row>
    <row r="23" ht="42" customHeight="1">
      <c r="A23" s="4" t="inlineStr">
        <is>
          <t>CV-022</t>
        </is>
      </c>
      <c r="B23" s="4" t="inlineStr">
        <is>
          <t>BOLT-WEB-022</t>
        </is>
      </c>
      <c r="C23" s="4" t="inlineStr"/>
      <c r="D23" s="4" t="inlineStr">
        <is>
          <t>1.9.0</t>
        </is>
      </c>
      <c r="E23" s="4" t="inlineStr">
        <is>
          <t>Web 1.9.0 — v1.9: RLS matrix + migración qc_* + PKCS#7 pedidos.</t>
        </is>
      </c>
      <c r="F23" s="4" t="inlineStr">
        <is>
          <t>PRODUCCION</t>
        </is>
      </c>
      <c r="G23" s="4" t="inlineStr">
        <is>
          <t>INTEGRADO</t>
        </is>
      </c>
      <c r="H23" s="4" t="inlineStr">
        <is>
          <t>2026-06-16</t>
        </is>
      </c>
      <c r="I23" s="4" t="inlineStr">
        <is>
          <t>Serpa Sedano Yeferson Wilson</t>
        </is>
      </c>
      <c r="J23" s="4" t="inlineStr">
        <is>
          <t>Cursor Agent / revisión técnica automatizada</t>
        </is>
      </c>
      <c r="K23" s="4" t="inlineStr">
        <is>
          <t>main@1.9.0</t>
        </is>
      </c>
      <c r="L23" s="4" t="inlineStr"/>
      <c r="M23" s="4" t="inlineStr">
        <is>
          <t>Repositorio Calzatura Vilchez V3</t>
        </is>
      </c>
      <c r="N23" s="4" t="inlineStr">
        <is>
          <t>Alta</t>
        </is>
      </c>
      <c r="O23" s="4" t="inlineStr">
        <is>
          <t>No</t>
        </is>
      </c>
      <c r="P23" s="4" t="inlineStr">
        <is>
          <t>Service role solo en servidor.</t>
        </is>
      </c>
    </row>
    <row r="24" ht="42" customHeight="1">
      <c r="A24" s="3" t="inlineStr">
        <is>
          <t>CV-023</t>
        </is>
      </c>
      <c r="B24" s="3" t="inlineStr">
        <is>
          <t>BOLT-WEB-023</t>
        </is>
      </c>
      <c r="C24" s="3" t="inlineStr"/>
      <c r="D24" s="3" t="inlineStr">
        <is>
          <t>1.9.0</t>
        </is>
      </c>
      <c r="E24" s="3" t="inlineStr">
        <is>
          <t>Web 1.9.0 — 64 migraciones, qc_* RLS, anti-regresión, modelo_estado.</t>
        </is>
      </c>
      <c r="F24" s="3" t="inlineStr">
        <is>
          <t>PRODUCCION</t>
        </is>
      </c>
      <c r="G24" s="3" t="inlineStr">
        <is>
          <t>INTEGRADO</t>
        </is>
      </c>
      <c r="H24" s="3" t="inlineStr">
        <is>
          <t>2026-06-16</t>
        </is>
      </c>
      <c r="I24" s="3" t="inlineStr">
        <is>
          <t>Serpa Sedano Yeferson Wilson</t>
        </is>
      </c>
      <c r="J24" s="3" t="inlineStr">
        <is>
          <t>Cursor Agent / revisión técnica automatizada</t>
        </is>
      </c>
      <c r="K24" s="3" t="inlineStr">
        <is>
          <t>main@1.9.0</t>
        </is>
      </c>
      <c r="L24" s="3" t="inlineStr"/>
      <c r="M24" s="3" t="inlineStr">
        <is>
          <t>Repositorio Calzatura Vilchez V3</t>
        </is>
      </c>
      <c r="N24" s="3" t="inlineStr">
        <is>
          <t>Alta</t>
        </is>
      </c>
      <c r="O24" s="3" t="inlineStr">
        <is>
          <t>No</t>
        </is>
      </c>
      <c r="P24" s="3" t="inlineStr">
        <is>
          <t>Secrets de DNI en Render, no frontend.</t>
        </is>
      </c>
    </row>
    <row r="25" ht="42" customHeight="1">
      <c r="A25" s="4" t="inlineStr">
        <is>
          <t>CV-024</t>
        </is>
      </c>
      <c r="B25" s="4" t="inlineStr">
        <is>
          <t>BOLT-WEB-024</t>
        </is>
      </c>
      <c r="C25" s="4" t="inlineStr"/>
      <c r="D25" s="4" t="inlineStr">
        <is>
          <t>1.7.0</t>
        </is>
      </c>
      <c r="E25" s="4" t="inlineStr">
        <is>
          <t>Web 1.7.0 — v1.7: panel IRE + campañas + sparkline historial.</t>
        </is>
      </c>
      <c r="F25" s="4" t="inlineStr">
        <is>
          <t>PRODUCCION</t>
        </is>
      </c>
      <c r="G25" s="4" t="inlineStr">
        <is>
          <t>INTEGRADO</t>
        </is>
      </c>
      <c r="H25" s="4" t="inlineStr">
        <is>
          <t>2026-06-08</t>
        </is>
      </c>
      <c r="I25" s="4" t="inlineStr">
        <is>
          <t>Serpa Sedano Yeferson Wilson</t>
        </is>
      </c>
      <c r="J25" s="4" t="inlineStr">
        <is>
          <t>Cursor Agent / revisión técnica automatizada</t>
        </is>
      </c>
      <c r="K25" s="4" t="inlineStr">
        <is>
          <t>main@1.7.0</t>
        </is>
      </c>
      <c r="L25" s="4" t="inlineStr"/>
      <c r="M25" s="4" t="inlineStr">
        <is>
          <t>Repositorio Calzatura Vilchez V3</t>
        </is>
      </c>
      <c r="N25" s="4" t="inlineStr">
        <is>
          <t>Alta</t>
        </is>
      </c>
      <c r="O25" s="4" t="inlineStr">
        <is>
          <t>No</t>
        </is>
      </c>
      <c r="P25" s="4" t="inlineStr">
        <is>
          <t>Gobierno IA documentado con métricas, backtesting y data quality.</t>
        </is>
      </c>
    </row>
    <row r="26" ht="42" customHeight="1">
      <c r="A26" s="3" t="inlineStr">
        <is>
          <t>CV-025</t>
        </is>
      </c>
      <c r="B26" s="3" t="inlineStr">
        <is>
          <t>BOLT-WEB-025</t>
        </is>
      </c>
      <c r="C26" s="3" t="inlineStr"/>
      <c r="D26" s="3" t="inlineStr">
        <is>
          <t>1.9.0</t>
        </is>
      </c>
      <c r="E26" s="3" t="inlineStr">
        <is>
          <t>Web 1.9.0 — v1.9: CI con gates ISO 25000, E2E multi-browser, typecheck.</t>
        </is>
      </c>
      <c r="F26" s="3" t="inlineStr">
        <is>
          <t>PRODUCCION</t>
        </is>
      </c>
      <c r="G26" s="3" t="inlineStr">
        <is>
          <t>INTEGRADO</t>
        </is>
      </c>
      <c r="H26" s="3" t="inlineStr">
        <is>
          <t>2026-06-16</t>
        </is>
      </c>
      <c r="I26" s="3" t="inlineStr">
        <is>
          <t>Serpa Sedano Yeferson Wilson</t>
        </is>
      </c>
      <c r="J26" s="3" t="inlineStr">
        <is>
          <t>Cursor Agent / revisión técnica automatizada</t>
        </is>
      </c>
      <c r="K26" s="3" t="inlineStr">
        <is>
          <t>main@1.9.0</t>
        </is>
      </c>
      <c r="L26" s="3" t="inlineStr"/>
      <c r="M26" s="3" t="inlineStr">
        <is>
          <t>Repositorio Calzatura Vilchez V3</t>
        </is>
      </c>
      <c r="N26" s="3" t="inlineStr">
        <is>
          <t>Alta</t>
        </is>
      </c>
      <c r="O26" s="3" t="inlineStr">
        <is>
          <t>No</t>
        </is>
      </c>
      <c r="P26" s="3" t="inlineStr">
        <is>
          <t>Mantener evidencia de cada ejecución.</t>
        </is>
      </c>
    </row>
    <row r="27" ht="42" customHeight="1">
      <c r="A27" s="4" t="inlineStr">
        <is>
          <t>CV-026</t>
        </is>
      </c>
      <c r="B27" s="4" t="inlineStr">
        <is>
          <t>BOLT-WEB-026</t>
        </is>
      </c>
      <c r="C27" s="4" t="inlineStr"/>
      <c r="D27" s="4" t="inlineStr">
        <is>
          <t>1.9.0</t>
        </is>
      </c>
      <c r="E27" s="4" t="inlineStr">
        <is>
          <t>Web 1.9.0 — v1.9: k6 mixed1000 BFF live + autocannon stress.</t>
        </is>
      </c>
      <c r="F27" s="4" t="inlineStr">
        <is>
          <t>PRODUCCION</t>
        </is>
      </c>
      <c r="G27" s="4" t="inlineStr">
        <is>
          <t>INTEGRADO</t>
        </is>
      </c>
      <c r="H27" s="4" t="inlineStr">
        <is>
          <t>2026-06-16</t>
        </is>
      </c>
      <c r="I27" s="4" t="inlineStr">
        <is>
          <t>Serpa Sedano Yeferson Wilson</t>
        </is>
      </c>
      <c r="J27" s="4" t="inlineStr">
        <is>
          <t>Cursor Agent / revisión técnica automatizada</t>
        </is>
      </c>
      <c r="K27" s="4" t="inlineStr">
        <is>
          <t>main@1.9.0</t>
        </is>
      </c>
      <c r="L27" s="4" t="inlineStr"/>
      <c r="M27" s="4" t="inlineStr">
        <is>
          <t>Repositorio Calzatura Vilchez V3</t>
        </is>
      </c>
      <c r="N27" s="4" t="inlineStr">
        <is>
          <t>Alta</t>
        </is>
      </c>
      <c r="O27" s="4" t="inlineStr">
        <is>
          <t>No</t>
        </is>
      </c>
      <c r="P27" s="4" t="inlineStr">
        <is>
          <t>2000 conexiones concurrentes, 0 errores, 0 non-2xx, latencia promedio N/D ms. p95 catálogo 500 VUs 333.03988 ms; p95 BFF 1000 VUs 1.0663699999999998 ms.</t>
        </is>
      </c>
    </row>
    <row r="28" ht="42" customHeight="1">
      <c r="A28" s="3" t="inlineStr">
        <is>
          <t>CV-027</t>
        </is>
      </c>
      <c r="B28" s="3" t="inlineStr">
        <is>
          <t>BOLT-WEB-027</t>
        </is>
      </c>
      <c r="C28" s="3" t="inlineStr"/>
      <c r="D28" s="3" t="inlineStr">
        <is>
          <t>1.9.0</t>
        </is>
      </c>
      <c r="E28" s="3" t="inlineStr">
        <is>
          <t>Web 1.9.0 — v1.9: restore drill Supabase real + fiabilidad 84% prod.</t>
        </is>
      </c>
      <c r="F28" s="3" t="inlineStr">
        <is>
          <t>PRODUCCION</t>
        </is>
      </c>
      <c r="G28" s="3" t="inlineStr">
        <is>
          <t>INTEGRADO</t>
        </is>
      </c>
      <c r="H28" s="3" t="inlineStr">
        <is>
          <t>2026-06-16</t>
        </is>
      </c>
      <c r="I28" s="3" t="inlineStr">
        <is>
          <t>Serpa Sedano Yeferson Wilson</t>
        </is>
      </c>
      <c r="J28" s="3" t="inlineStr">
        <is>
          <t>Cursor Agent / revisión técnica automatizada</t>
        </is>
      </c>
      <c r="K28" s="3" t="inlineStr">
        <is>
          <t>main@1.9.0</t>
        </is>
      </c>
      <c r="L28" s="3" t="inlineStr"/>
      <c r="M28" s="3" t="inlineStr">
        <is>
          <t>Repositorio Calzatura Vilchez V3</t>
        </is>
      </c>
      <c r="N28" s="3" t="inlineStr">
        <is>
          <t>Alta</t>
        </is>
      </c>
      <c r="O28" s="3" t="inlineStr">
        <is>
          <t>No</t>
        </is>
      </c>
      <c r="P28" s="3" t="inlineStr">
        <is>
          <t>Simulacro real debe repetirse como mantenimiento.</t>
        </is>
      </c>
    </row>
    <row r="29" ht="42" customHeight="1">
      <c r="A29" s="4" t="inlineStr">
        <is>
          <t>CV-028</t>
        </is>
      </c>
      <c r="B29" s="4" t="inlineStr">
        <is>
          <t>BOLT-WEB-028</t>
        </is>
      </c>
      <c r="C29" s="4" t="inlineStr"/>
      <c r="D29" s="4" t="inlineStr">
        <is>
          <t>1.7.0</t>
        </is>
      </c>
      <c r="E29" s="4" t="inlineStr">
        <is>
          <t>Web 1.7.0 — v1.7: campañas detectadas + feedback adaptativo.</t>
        </is>
      </c>
      <c r="F29" s="4" t="inlineStr">
        <is>
          <t>PRODUCCION</t>
        </is>
      </c>
      <c r="G29" s="4" t="inlineStr">
        <is>
          <t>INTEGRADO</t>
        </is>
      </c>
      <c r="H29" s="4" t="inlineStr">
        <is>
          <t>2026-06-08</t>
        </is>
      </c>
      <c r="I29" s="4" t="inlineStr">
        <is>
          <t>Serpa Sedano Yeferson Wilson</t>
        </is>
      </c>
      <c r="J29" s="4" t="inlineStr">
        <is>
          <t>Cursor Agent / revisión técnica automatizada</t>
        </is>
      </c>
      <c r="K29" s="4" t="inlineStr">
        <is>
          <t>main@1.7.0</t>
        </is>
      </c>
      <c r="L29" s="4" t="inlineStr"/>
      <c r="M29" s="4" t="inlineStr">
        <is>
          <t>Repositorio Calzatura Vilchez V3</t>
        </is>
      </c>
      <c r="N29" s="4" t="inlineStr">
        <is>
          <t>Alta</t>
        </is>
      </c>
      <c r="O29" s="4" t="inlineStr">
        <is>
          <t>No</t>
        </is>
      </c>
      <c r="P29" s="4" t="inlineStr">
        <is>
          <t>Mejora conversión y trazabilidad comercial.</t>
        </is>
      </c>
    </row>
    <row r="30" ht="42" customHeight="1">
      <c r="A30" s="3" t="inlineStr">
        <is>
          <t>CV-029</t>
        </is>
      </c>
      <c r="B30" s="3" t="inlineStr">
        <is>
          <t>BOLT-WEB-029</t>
        </is>
      </c>
      <c r="C30" s="3" t="inlineStr"/>
      <c r="D30" s="3" t="inlineStr">
        <is>
          <t>1.5.0</t>
        </is>
      </c>
      <c r="E30" s="3" t="inlineStr">
        <is>
          <t>Web 1.5.0 — Libro reclamaciones virtual implementado.</t>
        </is>
      </c>
      <c r="F30" s="3" t="inlineStr">
        <is>
          <t>PRODUCCION</t>
        </is>
      </c>
      <c r="G30" s="3" t="inlineStr">
        <is>
          <t>INTEGRADO</t>
        </is>
      </c>
      <c r="H30" s="3" t="inlineStr">
        <is>
          <t>2026-05-26</t>
        </is>
      </c>
      <c r="I30" s="3" t="inlineStr">
        <is>
          <t>Serpa Sedano Yeferson Wilson</t>
        </is>
      </c>
      <c r="J30" s="3" t="inlineStr">
        <is>
          <t>Cursor Agent / revisión técnica automatizada</t>
        </is>
      </c>
      <c r="K30" s="3" t="inlineStr">
        <is>
          <t>main@1.5.0</t>
        </is>
      </c>
      <c r="L30" s="3" t="inlineStr"/>
      <c r="M30" s="3" t="inlineStr">
        <is>
          <t>Repositorio Calzatura Vilchez V3</t>
        </is>
      </c>
      <c r="N30" s="3" t="inlineStr">
        <is>
          <t>Alta</t>
        </is>
      </c>
      <c r="O30" s="3" t="inlineStr">
        <is>
          <t>No</t>
        </is>
      </c>
      <c r="P30" s="3" t="inlineStr">
        <is>
          <t>Cumple flujo funcional de reclamo/queja.</t>
        </is>
      </c>
    </row>
    <row r="31" ht="42" customHeight="1">
      <c r="A31" s="4" t="inlineStr">
        <is>
          <t>CV-030</t>
        </is>
      </c>
      <c r="B31" s="4" t="inlineStr">
        <is>
          <t>BOLT-WEB-030</t>
        </is>
      </c>
      <c r="C31" s="4" t="inlineStr"/>
      <c r="D31" s="4" t="inlineStr">
        <is>
          <t>1.5.0</t>
        </is>
      </c>
      <c r="E31" s="4" t="inlineStr">
        <is>
          <t>Web 1.5.0 — Política privacidad, cookies, cumplimiento Ley 29733.</t>
        </is>
      </c>
      <c r="F31" s="4" t="inlineStr">
        <is>
          <t>PRODUCCION</t>
        </is>
      </c>
      <c r="G31" s="4" t="inlineStr">
        <is>
          <t>INTEGRADO</t>
        </is>
      </c>
      <c r="H31" s="4" t="inlineStr">
        <is>
          <t>2026-05-26</t>
        </is>
      </c>
      <c r="I31" s="4" t="inlineStr">
        <is>
          <t>Serpa Sedano Yeferson Wilson</t>
        </is>
      </c>
      <c r="J31" s="4" t="inlineStr">
        <is>
          <t>Cursor Agent / revisión técnica automatizada</t>
        </is>
      </c>
      <c r="K31" s="4" t="inlineStr">
        <is>
          <t>main@1.5.0</t>
        </is>
      </c>
      <c r="L31" s="4" t="inlineStr"/>
      <c r="M31" s="4" t="inlineStr">
        <is>
          <t>Repositorio Calzatura Vilchez V3</t>
        </is>
      </c>
      <c r="N31" s="4" t="inlineStr">
        <is>
          <t>Alta</t>
        </is>
      </c>
      <c r="O31" s="4" t="inlineStr">
        <is>
          <t>No</t>
        </is>
      </c>
      <c r="P31" s="4" t="inlineStr">
        <is>
          <t>Alineado con ISO/IEC 27701.</t>
        </is>
      </c>
    </row>
    <row r="32" ht="42" customHeight="1">
      <c r="A32" s="3" t="inlineStr">
        <is>
          <t>CV-031</t>
        </is>
      </c>
      <c r="B32" s="3" t="inlineStr">
        <is>
          <t>BOLT-WEB-031</t>
        </is>
      </c>
      <c r="C32" s="3" t="inlineStr"/>
      <c r="D32" s="3" t="inlineStr">
        <is>
          <t>1.9.0</t>
        </is>
      </c>
      <c r="E32" s="3" t="inlineStr">
        <is>
          <t>Web 1.9.0 — v1.9: portabilidad adaptabilidad/intercambiabilidad gates.</t>
        </is>
      </c>
      <c r="F32" s="3" t="inlineStr">
        <is>
          <t>PRODUCCION</t>
        </is>
      </c>
      <c r="G32" s="3" t="inlineStr">
        <is>
          <t>INTEGRADO</t>
        </is>
      </c>
      <c r="H32" s="3" t="inlineStr">
        <is>
          <t>2026-06-16</t>
        </is>
      </c>
      <c r="I32" s="3" t="inlineStr">
        <is>
          <t>Serpa Sedano Yeferson Wilson</t>
        </is>
      </c>
      <c r="J32" s="3" t="inlineStr">
        <is>
          <t>Cursor Agent / revisión técnica automatizada</t>
        </is>
      </c>
      <c r="K32" s="3" t="inlineStr">
        <is>
          <t>main@1.9.0</t>
        </is>
      </c>
      <c r="L32" s="3" t="inlineStr"/>
      <c r="M32" s="3" t="inlineStr">
        <is>
          <t>Repositorio Calzatura Vilchez V3</t>
        </is>
      </c>
      <c r="N32" s="3" t="inlineStr">
        <is>
          <t>Alta</t>
        </is>
      </c>
      <c r="O32" s="3" t="inlineStr">
        <is>
          <t>No</t>
        </is>
      </c>
      <c r="P32" s="3" t="inlineStr">
        <is>
          <t>Docker/ZAP también soporta seguridad dinámica.</t>
        </is>
      </c>
    </row>
    <row r="33" ht="42" customHeight="1">
      <c r="A33" s="4" t="inlineStr">
        <is>
          <t>CV-032</t>
        </is>
      </c>
      <c r="B33" s="4" t="inlineStr">
        <is>
          <t>BOLT-WEB-032</t>
        </is>
      </c>
      <c r="C33" s="4" t="inlineStr"/>
      <c r="D33" s="4" t="inlineStr">
        <is>
          <t>1.6.0</t>
        </is>
      </c>
      <c r="E33" s="4" t="inlineStr">
        <is>
          <t>Web 1.6.0 — Registro, perfil, favoritos, DNI pgcrypto, App Check.</t>
        </is>
      </c>
      <c r="F33" s="4" t="inlineStr">
        <is>
          <t>PRODUCCION</t>
        </is>
      </c>
      <c r="G33" s="4" t="inlineStr">
        <is>
          <t>INTEGRADO</t>
        </is>
      </c>
      <c r="H33" s="4" t="inlineStr">
        <is>
          <t>2026-05-31</t>
        </is>
      </c>
      <c r="I33" s="4" t="inlineStr">
        <is>
          <t>Serpa Sedano Yeferson Wilson</t>
        </is>
      </c>
      <c r="J33" s="4" t="inlineStr">
        <is>
          <t>Cursor Agent / revisión técnica automatizada</t>
        </is>
      </c>
      <c r="K33" s="4" t="inlineStr">
        <is>
          <t>main@1.6.0</t>
        </is>
      </c>
      <c r="L33" s="4" t="inlineStr"/>
      <c r="M33" s="4" t="inlineStr">
        <is>
          <t>Repositorio Calzatura Vilchez V3</t>
        </is>
      </c>
      <c r="N33" s="4" t="inlineStr">
        <is>
          <t>Alta</t>
        </is>
      </c>
      <c r="O33" s="4" t="inlineStr">
        <is>
          <t>No</t>
        </is>
      </c>
      <c r="P33" s="4" t="inlineStr">
        <is>
          <t>Control útil para ISO/IEC 27701 porque evita exposición entre cuentas.</t>
        </is>
      </c>
    </row>
    <row r="34" ht="42" customHeight="1">
      <c r="A34" s="3" t="inlineStr">
        <is>
          <t>CV-033</t>
        </is>
      </c>
      <c r="B34" s="3" t="inlineStr">
        <is>
          <t>BOLT-WEB-033</t>
        </is>
      </c>
      <c r="C34" s="3" t="inlineStr"/>
      <c r="D34" s="3" t="inlineStr">
        <is>
          <t>1.6.0</t>
        </is>
      </c>
      <c r="E34" s="3" t="inlineStr">
        <is>
          <t>Web 1.6.0 — Registro, perfil, favoritos, DNI pgcrypto, App Check.</t>
        </is>
      </c>
      <c r="F34" s="3" t="inlineStr">
        <is>
          <t>PRODUCCION</t>
        </is>
      </c>
      <c r="G34" s="3" t="inlineStr">
        <is>
          <t>INTEGRADO</t>
        </is>
      </c>
      <c r="H34" s="3" t="inlineStr">
        <is>
          <t>2026-05-31</t>
        </is>
      </c>
      <c r="I34" s="3" t="inlineStr">
        <is>
          <t>Serpa Sedano Yeferson Wilson</t>
        </is>
      </c>
      <c r="J34" s="3" t="inlineStr">
        <is>
          <t>Cursor Agent / revisión técnica automatizada</t>
        </is>
      </c>
      <c r="K34" s="3" t="inlineStr">
        <is>
          <t>main@1.6.0</t>
        </is>
      </c>
      <c r="L34" s="3" t="inlineStr"/>
      <c r="M34" s="3" t="inlineStr">
        <is>
          <t>Repositorio Calzatura Vilchez V3</t>
        </is>
      </c>
      <c r="N34" s="3" t="inlineStr">
        <is>
          <t>Alta</t>
        </is>
      </c>
      <c r="O34" s="3" t="inlineStr">
        <is>
          <t>No</t>
        </is>
      </c>
      <c r="P34" s="3" t="inlineStr">
        <is>
          <t>Mantiene separación entre datos de contacto y datos de identidad.</t>
        </is>
      </c>
    </row>
    <row r="35" ht="42" customHeight="1">
      <c r="A35" s="4" t="inlineStr">
        <is>
          <t>CV-034</t>
        </is>
      </c>
      <c r="B35" s="4" t="inlineStr">
        <is>
          <t>BOLT-WEB-034</t>
        </is>
      </c>
      <c r="C35" s="4" t="inlineStr"/>
      <c r="D35" s="4" t="inlineStr">
        <is>
          <t>1.9.0</t>
        </is>
      </c>
      <c r="E35" s="4" t="inlineStr">
        <is>
          <t>Web 1.9.0 — Pedidos cliente/admin, mapa, PKCS#7, búsqueda y paginación.</t>
        </is>
      </c>
      <c r="F35" s="4" t="inlineStr">
        <is>
          <t>PRODUCCION</t>
        </is>
      </c>
      <c r="G35" s="4" t="inlineStr">
        <is>
          <t>INTEGRADO</t>
        </is>
      </c>
      <c r="H35" s="4" t="inlineStr">
        <is>
          <t>2026-06-16</t>
        </is>
      </c>
      <c r="I35" s="4" t="inlineStr">
        <is>
          <t>Serpa Sedano Yeferson Wilson</t>
        </is>
      </c>
      <c r="J35" s="4" t="inlineStr">
        <is>
          <t>Cursor Agent / revisión técnica automatizada</t>
        </is>
      </c>
      <c r="K35" s="4" t="inlineStr">
        <is>
          <t>main@1.9.0</t>
        </is>
      </c>
      <c r="L35" s="4" t="inlineStr"/>
      <c r="M35" s="4" t="inlineStr">
        <is>
          <t>Repositorio Calzatura Vilchez V3</t>
        </is>
      </c>
      <c r="N35" s="4" t="inlineStr">
        <is>
          <t>Alta</t>
        </is>
      </c>
      <c r="O35" s="4" t="inlineStr">
        <is>
          <t>No</t>
        </is>
      </c>
      <c r="P35" s="4" t="inlineStr">
        <is>
          <t>Mejora ISO/IEC 25010 por claridad de errores.</t>
        </is>
      </c>
    </row>
    <row r="36" ht="42" customHeight="1">
      <c r="A36" s="3" t="inlineStr">
        <is>
          <t>CV-035</t>
        </is>
      </c>
      <c r="B36" s="3" t="inlineStr">
        <is>
          <t>BOLT-WEB-035</t>
        </is>
      </c>
      <c r="C36" s="3" t="inlineStr"/>
      <c r="D36" s="3" t="inlineStr">
        <is>
          <t>1.8.0</t>
        </is>
      </c>
      <c r="E36" s="3" t="inlineStr">
        <is>
          <t>Web 1.8.0 — Dashboard admin, productos, stock, finanzas, fabricantes BFF.</t>
        </is>
      </c>
      <c r="F36" s="3" t="inlineStr">
        <is>
          <t>PRODUCCION</t>
        </is>
      </c>
      <c r="G36" s="3" t="inlineStr">
        <is>
          <t>INTEGRADO</t>
        </is>
      </c>
      <c r="H36" s="3" t="inlineStr">
        <is>
          <t>2026-06-12</t>
        </is>
      </c>
      <c r="I36" s="3" t="inlineStr">
        <is>
          <t>Serpa Sedano Yeferson Wilson</t>
        </is>
      </c>
      <c r="J36" s="3" t="inlineStr">
        <is>
          <t>Cursor Agent / revisión técnica automatizada</t>
        </is>
      </c>
      <c r="K36" s="3" t="inlineStr">
        <is>
          <t>main@1.8.0</t>
        </is>
      </c>
      <c r="L36" s="3" t="inlineStr"/>
      <c r="M36" s="3" t="inlineStr">
        <is>
          <t>Repositorio Calzatura Vilchez V3</t>
        </is>
      </c>
      <c r="N36" s="3" t="inlineStr">
        <is>
          <t>Alta</t>
        </is>
      </c>
      <c r="O36" s="3" t="inlineStr">
        <is>
          <t>No</t>
        </is>
      </c>
      <c r="P36" s="3" t="inlineStr">
        <is>
          <t>Soporta gobierno operativo y trazabilidad.</t>
        </is>
      </c>
    </row>
    <row r="37" ht="42" customHeight="1">
      <c r="A37" s="4" t="inlineStr">
        <is>
          <t>CV-036</t>
        </is>
      </c>
      <c r="B37" s="4" t="inlineStr">
        <is>
          <t>BOLT-WEB-036</t>
        </is>
      </c>
      <c r="C37" s="4" t="inlineStr"/>
      <c r="D37" s="4" t="inlineStr">
        <is>
          <t>1.7.0</t>
        </is>
      </c>
      <c r="E37" s="4" t="inlineStr">
        <is>
          <t>Web 1.7.0 — Catálogo, variantes, imágenes Cloudinary, campaña en productos.</t>
        </is>
      </c>
      <c r="F37" s="4" t="inlineStr">
        <is>
          <t>PRODUCCION</t>
        </is>
      </c>
      <c r="G37" s="4" t="inlineStr">
        <is>
          <t>INTEGRADO</t>
        </is>
      </c>
      <c r="H37" s="4" t="inlineStr">
        <is>
          <t>2026-06-08</t>
        </is>
      </c>
      <c r="I37" s="4" t="inlineStr">
        <is>
          <t>Serpa Sedano Yeferson Wilson</t>
        </is>
      </c>
      <c r="J37" s="4" t="inlineStr">
        <is>
          <t>Cursor Agent / revisión técnica automatizada</t>
        </is>
      </c>
      <c r="K37" s="4" t="inlineStr">
        <is>
          <t>main@1.7.0</t>
        </is>
      </c>
      <c r="L37" s="4" t="inlineStr"/>
      <c r="M37" s="4" t="inlineStr">
        <is>
          <t>Repositorio Calzatura Vilchez V3</t>
        </is>
      </c>
      <c r="N37" s="4" t="inlineStr">
        <is>
          <t>Alta</t>
        </is>
      </c>
      <c r="O37" s="4" t="inlineStr">
        <is>
          <t>No</t>
        </is>
      </c>
      <c r="P37" s="4" t="inlineStr">
        <is>
          <t>Control útil para ISO/IEC 27001 por segregación de secretos.</t>
        </is>
      </c>
    </row>
    <row r="38" ht="42" customHeight="1">
      <c r="A38" s="3" t="inlineStr">
        <is>
          <t>CV-037</t>
        </is>
      </c>
      <c r="B38" s="3" t="inlineStr">
        <is>
          <t>BOLT-WEB-037</t>
        </is>
      </c>
      <c r="C38" s="3" t="inlineStr"/>
      <c r="D38" s="3" t="inlineStr">
        <is>
          <t>1.8.0</t>
        </is>
      </c>
      <c r="E38" s="3" t="inlineStr">
        <is>
          <t>Web 1.8.0 — v1.8: checkout entrega + rutas Google Maps / ORS.</t>
        </is>
      </c>
      <c r="F38" s="3" t="inlineStr">
        <is>
          <t>PRODUCCION</t>
        </is>
      </c>
      <c r="G38" s="3" t="inlineStr">
        <is>
          <t>INTEGRADO</t>
        </is>
      </c>
      <c r="H38" s="3" t="inlineStr">
        <is>
          <t>2026-06-12</t>
        </is>
      </c>
      <c r="I38" s="3" t="inlineStr">
        <is>
          <t>Serpa Sedano Yeferson Wilson</t>
        </is>
      </c>
      <c r="J38" s="3" t="inlineStr">
        <is>
          <t>Cursor Agent / revisión técnica automatizada</t>
        </is>
      </c>
      <c r="K38" s="3" t="inlineStr">
        <is>
          <t>main@1.8.0</t>
        </is>
      </c>
      <c r="L38" s="3" t="inlineStr"/>
      <c r="M38" s="3" t="inlineStr">
        <is>
          <t>Repositorio Calzatura Vilchez V3</t>
        </is>
      </c>
      <c r="N38" s="3" t="inlineStr">
        <is>
          <t>Alta</t>
        </is>
      </c>
      <c r="O38" s="3" t="inlineStr">
        <is>
          <t>No</t>
        </is>
      </c>
      <c r="P38" s="3" t="inlineStr">
        <is>
          <t>Reduce riesgo de pedidos con dirección inválida.</t>
        </is>
      </c>
    </row>
    <row r="39" ht="42" customHeight="1">
      <c r="A39" s="4" t="inlineStr">
        <is>
          <t>CV-038</t>
        </is>
      </c>
      <c r="B39" s="4" t="inlineStr">
        <is>
          <t>BOLT-WEB-038</t>
        </is>
      </c>
      <c r="C39" s="4" t="inlineStr"/>
      <c r="D39" s="4" t="inlineStr">
        <is>
          <t>1.2.0</t>
        </is>
      </c>
      <c r="E39" s="4" t="inlineStr">
        <is>
          <t>Web 1.2.0 — Import/export Excel, reglas comerciales, sanitización.</t>
        </is>
      </c>
      <c r="F39" s="4" t="inlineStr">
        <is>
          <t>PRODUCCION</t>
        </is>
      </c>
      <c r="G39" s="4" t="inlineStr">
        <is>
          <t>INTEGRADO</t>
        </is>
      </c>
      <c r="H39" s="4" t="inlineStr">
        <is>
          <t>2026-05-16</t>
        </is>
      </c>
      <c r="I39" s="4" t="inlineStr">
        <is>
          <t>Serpa Sedano Yeferson Wilson</t>
        </is>
      </c>
      <c r="J39" s="4" t="inlineStr">
        <is>
          <t>Cursor Agent / revisión técnica automatizada</t>
        </is>
      </c>
      <c r="K39" s="4" t="inlineStr">
        <is>
          <t>main@1.2.0</t>
        </is>
      </c>
      <c r="L39" s="4" t="inlineStr"/>
      <c r="M39" s="4" t="inlineStr">
        <is>
          <t>Repositorio Calzatura Vilchez V3</t>
        </is>
      </c>
      <c r="N39" s="4" t="inlineStr">
        <is>
          <t>Alta</t>
        </is>
      </c>
      <c r="O39" s="4" t="inlineStr">
        <is>
          <t>No</t>
        </is>
      </c>
      <c r="P39" s="4" t="inlineStr">
        <is>
          <t>Matriz de registro mantiene este flujo como proceso empresarial.</t>
        </is>
      </c>
    </row>
    <row r="40" ht="42" customHeight="1">
      <c r="A40" s="3" t="inlineStr">
        <is>
          <t>CV-039</t>
        </is>
      </c>
      <c r="B40" s="3" t="inlineStr">
        <is>
          <t>BOLT-WEB-039</t>
        </is>
      </c>
      <c r="C40" s="3" t="inlineStr"/>
      <c r="D40" s="3" t="inlineStr">
        <is>
          <t>1.2.0</t>
        </is>
      </c>
      <c r="E40" s="3" t="inlineStr">
        <is>
          <t>Web 1.2.0 — Import/export Excel, reglas comerciales, sanitización.</t>
        </is>
      </c>
      <c r="F40" s="3" t="inlineStr">
        <is>
          <t>PRODUCCION</t>
        </is>
      </c>
      <c r="G40" s="3" t="inlineStr">
        <is>
          <t>INTEGRADO</t>
        </is>
      </c>
      <c r="H40" s="3" t="inlineStr">
        <is>
          <t>2026-05-16</t>
        </is>
      </c>
      <c r="I40" s="3" t="inlineStr">
        <is>
          <t>Serpa Sedano Yeferson Wilson</t>
        </is>
      </c>
      <c r="J40" s="3" t="inlineStr">
        <is>
          <t>Cursor Agent / revisión técnica automatizada</t>
        </is>
      </c>
      <c r="K40" s="3" t="inlineStr">
        <is>
          <t>main@1.2.0</t>
        </is>
      </c>
      <c r="L40" s="3" t="inlineStr"/>
      <c r="M40" s="3" t="inlineStr">
        <is>
          <t>Repositorio Calzatura Vilchez V3</t>
        </is>
      </c>
      <c r="N40" s="3" t="inlineStr">
        <is>
          <t>Alta</t>
        </is>
      </c>
      <c r="O40" s="3" t="inlineStr">
        <is>
          <t>No</t>
        </is>
      </c>
      <c r="P40" s="3" t="inlineStr">
        <is>
          <t>Alineado con ISO/IEC 25012 por calidad de datos.</t>
        </is>
      </c>
    </row>
    <row r="41" ht="42" customHeight="1">
      <c r="A41" s="4" t="inlineStr">
        <is>
          <t>CV-040</t>
        </is>
      </c>
      <c r="B41" s="4" t="inlineStr">
        <is>
          <t>BOLT-WEB-040</t>
        </is>
      </c>
      <c r="C41" s="4" t="inlineStr"/>
      <c r="D41" s="4" t="inlineStr">
        <is>
          <t>1.2.0</t>
        </is>
      </c>
      <c r="E41" s="4" t="inlineStr">
        <is>
          <t>Web 1.2.0 — Import/export Excel, reglas comerciales, sanitización.</t>
        </is>
      </c>
      <c r="F41" s="4" t="inlineStr">
        <is>
          <t>PRODUCCION</t>
        </is>
      </c>
      <c r="G41" s="4" t="inlineStr">
        <is>
          <t>INTEGRADO</t>
        </is>
      </c>
      <c r="H41" s="4" t="inlineStr">
        <is>
          <t>2026-05-16</t>
        </is>
      </c>
      <c r="I41" s="4" t="inlineStr">
        <is>
          <t>Serpa Sedano Yeferson Wilson</t>
        </is>
      </c>
      <c r="J41" s="4" t="inlineStr">
        <is>
          <t>Cursor Agent / revisión técnica automatizada</t>
        </is>
      </c>
      <c r="K41" s="4" t="inlineStr">
        <is>
          <t>main@1.2.0</t>
        </is>
      </c>
      <c r="L41" s="4" t="inlineStr"/>
      <c r="M41" s="4" t="inlineStr">
        <is>
          <t>Repositorio Calzatura Vilchez V3</t>
        </is>
      </c>
      <c r="N41" s="4" t="inlineStr">
        <is>
          <t>Alta</t>
        </is>
      </c>
      <c r="O41" s="4" t="inlineStr">
        <is>
          <t>No</t>
        </is>
      </c>
      <c r="P41" s="4" t="inlineStr">
        <is>
          <t>Evita contaminación de datos productivos por importaciones de prueba.</t>
        </is>
      </c>
    </row>
    <row r="42" ht="42" customHeight="1">
      <c r="A42" s="3" t="inlineStr">
        <is>
          <t>CV-041</t>
        </is>
      </c>
      <c r="B42" s="3" t="inlineStr">
        <is>
          <t>BOLT-WEB-041</t>
        </is>
      </c>
      <c r="C42" s="3" t="inlineStr"/>
      <c r="D42" s="3" t="inlineStr">
        <is>
          <t>1.8.0</t>
        </is>
      </c>
      <c r="E42" s="3" t="inlineStr">
        <is>
          <t>Web 1.8.0 — Dashboard admin, productos, stock, finanzas, fabricantes BFF.</t>
        </is>
      </c>
      <c r="F42" s="3" t="inlineStr">
        <is>
          <t>PRODUCCION</t>
        </is>
      </c>
      <c r="G42" s="3" t="inlineStr">
        <is>
          <t>INTEGRADO</t>
        </is>
      </c>
      <c r="H42" s="3" t="inlineStr">
        <is>
          <t>2026-06-12</t>
        </is>
      </c>
      <c r="I42" s="3" t="inlineStr">
        <is>
          <t>Serpa Sedano Yeferson Wilson</t>
        </is>
      </c>
      <c r="J42" s="3" t="inlineStr">
        <is>
          <t>Cursor Agent / revisión técnica automatizada</t>
        </is>
      </c>
      <c r="K42" s="3" t="inlineStr">
        <is>
          <t>main@1.8.0</t>
        </is>
      </c>
      <c r="L42" s="3" t="inlineStr"/>
      <c r="M42" s="3" t="inlineStr">
        <is>
          <t>Repositorio Calzatura Vilchez V3</t>
        </is>
      </c>
      <c r="N42" s="3" t="inlineStr">
        <is>
          <t>Alta</t>
        </is>
      </c>
      <c r="O42" s="3" t="inlineStr">
        <is>
          <t>No</t>
        </is>
      </c>
      <c r="P42" s="3" t="inlineStr">
        <is>
          <t>Aporta consistencia de datos ISO/IEC 25012.</t>
        </is>
      </c>
    </row>
    <row r="43" ht="42" customHeight="1">
      <c r="A43" s="4" t="inlineStr">
        <is>
          <t>CV-042</t>
        </is>
      </c>
      <c r="B43" s="4" t="inlineStr">
        <is>
          <t>BOLT-WEB-042</t>
        </is>
      </c>
      <c r="C43" s="4" t="inlineStr"/>
      <c r="D43" s="4" t="inlineStr">
        <is>
          <t>1.7.0</t>
        </is>
      </c>
      <c r="E43" s="4" t="inlineStr">
        <is>
          <t>Web 1.7.0 — Catálogo, variantes, imágenes Cloudinary, campaña en productos.</t>
        </is>
      </c>
      <c r="F43" s="4" t="inlineStr">
        <is>
          <t>PRODUCCION</t>
        </is>
      </c>
      <c r="G43" s="4" t="inlineStr">
        <is>
          <t>INTEGRADO</t>
        </is>
      </c>
      <c r="H43" s="4" t="inlineStr">
        <is>
          <t>2026-06-08</t>
        </is>
      </c>
      <c r="I43" s="4" t="inlineStr">
        <is>
          <t>Serpa Sedano Yeferson Wilson</t>
        </is>
      </c>
      <c r="J43" s="4" t="inlineStr">
        <is>
          <t>Cursor Agent / revisión técnica automatizada</t>
        </is>
      </c>
      <c r="K43" s="4" t="inlineStr">
        <is>
          <t>main@1.7.0</t>
        </is>
      </c>
      <c r="L43" s="4" t="inlineStr"/>
      <c r="M43" s="4" t="inlineStr">
        <is>
          <t>Repositorio Calzatura Vilchez V3</t>
        </is>
      </c>
      <c r="N43" s="4" t="inlineStr">
        <is>
          <t>Alta</t>
        </is>
      </c>
      <c r="O43" s="4" t="inlineStr">
        <is>
          <t>No</t>
        </is>
      </c>
      <c r="P43" s="4" t="inlineStr">
        <is>
          <t>Control clave para trazabilidad empresarial.</t>
        </is>
      </c>
    </row>
    <row r="44" ht="42" customHeight="1">
      <c r="A44" s="3" t="inlineStr">
        <is>
          <t>CV-043</t>
        </is>
      </c>
      <c r="B44" s="3" t="inlineStr">
        <is>
          <t>BOLT-WEB-043</t>
        </is>
      </c>
      <c r="C44" s="3" t="inlineStr"/>
      <c r="D44" s="3" t="inlineStr">
        <is>
          <t>1.8.0</t>
        </is>
      </c>
      <c r="E44" s="3" t="inlineStr">
        <is>
          <t>Web 1.8.0 — Dashboard admin, productos, stock, finanzas, fabricantes BFF.</t>
        </is>
      </c>
      <c r="F44" s="3" t="inlineStr">
        <is>
          <t>PRODUCCION</t>
        </is>
      </c>
      <c r="G44" s="3" t="inlineStr">
        <is>
          <t>INTEGRADO</t>
        </is>
      </c>
      <c r="H44" s="3" t="inlineStr">
        <is>
          <t>2026-06-12</t>
        </is>
      </c>
      <c r="I44" s="3" t="inlineStr">
        <is>
          <t>Serpa Sedano Yeferson Wilson</t>
        </is>
      </c>
      <c r="J44" s="3" t="inlineStr">
        <is>
          <t>Cursor Agent / revisión técnica automatizada</t>
        </is>
      </c>
      <c r="K44" s="3" t="inlineStr">
        <is>
          <t>main@1.8.0</t>
        </is>
      </c>
      <c r="L44" s="3" t="inlineStr"/>
      <c r="M44" s="3" t="inlineStr">
        <is>
          <t>Repositorio Calzatura Vilchez V3</t>
        </is>
      </c>
      <c r="N44" s="3" t="inlineStr">
        <is>
          <t>Alta</t>
        </is>
      </c>
      <c r="O44" s="3" t="inlineStr">
        <is>
          <t>No</t>
        </is>
      </c>
      <c r="P44" s="3" t="inlineStr">
        <is>
          <t>Control alineado con ISO/IEC 27001.</t>
        </is>
      </c>
    </row>
    <row r="45" ht="42" customHeight="1">
      <c r="A45" s="4" t="inlineStr">
        <is>
          <t>CV-044</t>
        </is>
      </c>
      <c r="B45" s="4" t="inlineStr">
        <is>
          <t>BOLT-WEB-044</t>
        </is>
      </c>
      <c r="C45" s="4" t="inlineStr"/>
      <c r="D45" s="4" t="inlineStr">
        <is>
          <t>1.9.0</t>
        </is>
      </c>
      <c r="E45" s="4" t="inlineStr">
        <is>
          <t>Web 1.9.0 — v1.9: anti-regresión migraciones Supabase.</t>
        </is>
      </c>
      <c r="F45" s="4" t="inlineStr">
        <is>
          <t>PRODUCCION</t>
        </is>
      </c>
      <c r="G45" s="4" t="inlineStr">
        <is>
          <t>INTEGRADO</t>
        </is>
      </c>
      <c r="H45" s="4" t="inlineStr">
        <is>
          <t>2026-06-16</t>
        </is>
      </c>
      <c r="I45" s="4" t="inlineStr">
        <is>
          <t>Serpa Sedano Yeferson Wilson</t>
        </is>
      </c>
      <c r="J45" s="4" t="inlineStr">
        <is>
          <t>Cursor Agent / revisión técnica automatizada</t>
        </is>
      </c>
      <c r="K45" s="4" t="inlineStr">
        <is>
          <t>main@1.9.0</t>
        </is>
      </c>
      <c r="L45" s="4" t="inlineStr"/>
      <c r="M45" s="4" t="inlineStr">
        <is>
          <t>Repositorio Calzatura Vilchez V3</t>
        </is>
      </c>
      <c r="N45" s="4" t="inlineStr">
        <is>
          <t>Alta</t>
        </is>
      </c>
      <c r="O45" s="4" t="inlineStr">
        <is>
          <t>No</t>
        </is>
      </c>
      <c r="P45" s="4" t="inlineStr">
        <is>
          <t>Permite lecturas públicas controladas, no mutaciones sensibles.</t>
        </is>
      </c>
    </row>
    <row r="46" ht="42" customHeight="1">
      <c r="A46" s="3" t="inlineStr">
        <is>
          <t>CV-045</t>
        </is>
      </c>
      <c r="B46" s="3" t="inlineStr">
        <is>
          <t>BOLT-WEB-045</t>
        </is>
      </c>
      <c r="C46" s="3" t="inlineStr"/>
      <c r="D46" s="3" t="inlineStr">
        <is>
          <t>1.9.0</t>
        </is>
      </c>
      <c r="E46" s="3" t="inlineStr">
        <is>
          <t>Web 1.9.0 — v1.9: service_role policies + linter remediation v2.</t>
        </is>
      </c>
      <c r="F46" s="3" t="inlineStr">
        <is>
          <t>PRODUCCION</t>
        </is>
      </c>
      <c r="G46" s="3" t="inlineStr">
        <is>
          <t>INTEGRADO</t>
        </is>
      </c>
      <c r="H46" s="3" t="inlineStr">
        <is>
          <t>2026-06-16</t>
        </is>
      </c>
      <c r="I46" s="3" t="inlineStr">
        <is>
          <t>Serpa Sedano Yeferson Wilson</t>
        </is>
      </c>
      <c r="J46" s="3" t="inlineStr">
        <is>
          <t>Cursor Agent / revisión técnica automatizada</t>
        </is>
      </c>
      <c r="K46" s="3" t="inlineStr">
        <is>
          <t>main@1.9.0</t>
        </is>
      </c>
      <c r="L46" s="3" t="inlineStr"/>
      <c r="M46" s="3" t="inlineStr">
        <is>
          <t>Repositorio Calzatura Vilchez V3</t>
        </is>
      </c>
      <c r="N46" s="3" t="inlineStr">
        <is>
          <t>Alta</t>
        </is>
      </c>
      <c r="O46" s="3" t="inlineStr">
        <is>
          <t>No</t>
        </is>
      </c>
      <c r="P46" s="3" t="inlineStr">
        <is>
          <t>Alineado con ISO/IEC 27001 y 27701.</t>
        </is>
      </c>
    </row>
    <row r="47" ht="42" customHeight="1">
      <c r="A47" s="4" t="inlineStr">
        <is>
          <t>CV-046</t>
        </is>
      </c>
      <c r="B47" s="4" t="inlineStr">
        <is>
          <t>BOLT-WEB-046</t>
        </is>
      </c>
      <c r="C47" s="4" t="inlineStr"/>
      <c r="D47" s="4" t="inlineStr">
        <is>
          <t>1.9.0</t>
        </is>
      </c>
      <c r="E47" s="4" t="inlineStr">
        <is>
          <t>Web 1.9.0 — v1.9: auditoría PII enmascarada en logs.</t>
        </is>
      </c>
      <c r="F47" s="4" t="inlineStr">
        <is>
          <t>PRODUCCION</t>
        </is>
      </c>
      <c r="G47" s="4" t="inlineStr">
        <is>
          <t>INTEGRADO</t>
        </is>
      </c>
      <c r="H47" s="4" t="inlineStr">
        <is>
          <t>2026-06-16</t>
        </is>
      </c>
      <c r="I47" s="4" t="inlineStr">
        <is>
          <t>Serpa Sedano Yeferson Wilson</t>
        </is>
      </c>
      <c r="J47" s="4" t="inlineStr">
        <is>
          <t>Cursor Agent / revisión técnica automatizada</t>
        </is>
      </c>
      <c r="K47" s="4" t="inlineStr">
        <is>
          <t>main@1.9.0</t>
        </is>
      </c>
      <c r="L47" s="4" t="inlineStr"/>
      <c r="M47" s="4" t="inlineStr">
        <is>
          <t>Repositorio Calzatura Vilchez V3</t>
        </is>
      </c>
      <c r="N47" s="4" t="inlineStr">
        <is>
          <t>Alta</t>
        </is>
      </c>
      <c r="O47" s="4" t="inlineStr">
        <is>
          <t>No</t>
        </is>
      </c>
      <c r="P47" s="4" t="inlineStr">
        <is>
          <t>Cubre ISO/IEC 27701 e ISO/IEC 27001.</t>
        </is>
      </c>
    </row>
    <row r="48" ht="42" customHeight="1">
      <c r="A48" s="3" t="inlineStr">
        <is>
          <t>CV-047</t>
        </is>
      </c>
      <c r="B48" s="3" t="inlineStr">
        <is>
          <t>BOLT-WEB-047</t>
        </is>
      </c>
      <c r="C48" s="3" t="inlineStr"/>
      <c r="D48" s="3" t="inlineStr">
        <is>
          <t>1.8.0</t>
        </is>
      </c>
      <c r="E48" s="3" t="inlineStr">
        <is>
          <t>Web 1.8.0 — v1.8: detalle pedido admin con datos cliente y enlace mapa.</t>
        </is>
      </c>
      <c r="F48" s="3" t="inlineStr">
        <is>
          <t>PRODUCCION</t>
        </is>
      </c>
      <c r="G48" s="3" t="inlineStr">
        <is>
          <t>INTEGRADO</t>
        </is>
      </c>
      <c r="H48" s="3" t="inlineStr">
        <is>
          <t>2026-06-12</t>
        </is>
      </c>
      <c r="I48" s="3" t="inlineStr">
        <is>
          <t>Serpa Sedano Yeferson Wilson</t>
        </is>
      </c>
      <c r="J48" s="3" t="inlineStr">
        <is>
          <t>Cursor Agent / revisión técnica automatizada</t>
        </is>
      </c>
      <c r="K48" s="3" t="inlineStr">
        <is>
          <t>main@1.8.0</t>
        </is>
      </c>
      <c r="L48" s="3" t="inlineStr"/>
      <c r="M48" s="3" t="inlineStr">
        <is>
          <t>Repositorio Calzatura Vilchez V3</t>
        </is>
      </c>
      <c r="N48" s="3" t="inlineStr">
        <is>
          <t>Alta</t>
        </is>
      </c>
      <c r="O48" s="3" t="inlineStr">
        <is>
          <t>No</t>
        </is>
      </c>
      <c r="P48" s="3" t="inlineStr">
        <is>
          <t>Aumenta trazabilidad ISO/IEC 25010 e ISO/IEC 27001.</t>
        </is>
      </c>
    </row>
    <row r="49" ht="42" customHeight="1">
      <c r="A49" s="4" t="inlineStr">
        <is>
          <t>CV-048</t>
        </is>
      </c>
      <c r="B49" s="4" t="inlineStr">
        <is>
          <t>BOLT-WEB-048</t>
        </is>
      </c>
      <c r="C49" s="4" t="inlineStr"/>
      <c r="D49" s="4" t="inlineStr">
        <is>
          <t>1.9.0</t>
        </is>
      </c>
      <c r="E49" s="4" t="inlineStr">
        <is>
          <t>Web 1.9.0 — RLS, BFF fail-closed, ZAP prod, rate limit, auditoría PII.</t>
        </is>
      </c>
      <c r="F49" s="4" t="inlineStr">
        <is>
          <t>PRODUCCION</t>
        </is>
      </c>
      <c r="G49" s="4" t="inlineStr">
        <is>
          <t>INTEGRADO</t>
        </is>
      </c>
      <c r="H49" s="4" t="inlineStr">
        <is>
          <t>2026-06-16</t>
        </is>
      </c>
      <c r="I49" s="4" t="inlineStr">
        <is>
          <t>Serpa Sedano Yeferson Wilson</t>
        </is>
      </c>
      <c r="J49" s="4" t="inlineStr">
        <is>
          <t>Cursor Agent / revisión técnica automatizada</t>
        </is>
      </c>
      <c r="K49" s="4" t="inlineStr">
        <is>
          <t>main@1.9.0</t>
        </is>
      </c>
      <c r="L49" s="4" t="inlineStr"/>
      <c r="M49" s="4" t="inlineStr">
        <is>
          <t>Repositorio Calzatura Vilchez V3</t>
        </is>
      </c>
      <c r="N49" s="4" t="inlineStr">
        <is>
          <t>Alta</t>
        </is>
      </c>
      <c r="O49" s="4" t="inlineStr">
        <is>
          <t>No</t>
        </is>
      </c>
      <c r="P49" s="4" t="inlineStr">
        <is>
          <t>Control técnico alineado con ISO/IEC 27001.</t>
        </is>
      </c>
    </row>
    <row r="50" ht="42" customHeight="1">
      <c r="A50" s="3" t="inlineStr">
        <is>
          <t>CV-049</t>
        </is>
      </c>
      <c r="B50" s="3" t="inlineStr">
        <is>
          <t>BOLT-WEB-049</t>
        </is>
      </c>
      <c r="C50" s="3" t="inlineStr"/>
      <c r="D50" s="3" t="inlineStr">
        <is>
          <t>1.3.0</t>
        </is>
      </c>
      <c r="E50" s="3" t="inlineStr">
        <is>
          <t>Web 1.3.0 — Ventas diarias, devoluciones, panel staff/trabajador.</t>
        </is>
      </c>
      <c r="F50" s="3" t="inlineStr">
        <is>
          <t>PRODUCCION</t>
        </is>
      </c>
      <c r="G50" s="3" t="inlineStr">
        <is>
          <t>INTEGRADO</t>
        </is>
      </c>
      <c r="H50" s="3" t="inlineStr">
        <is>
          <t>2026-05-19</t>
        </is>
      </c>
      <c r="I50" s="3" t="inlineStr">
        <is>
          <t>Serpa Sedano Yeferson Wilson</t>
        </is>
      </c>
      <c r="J50" s="3" t="inlineStr">
        <is>
          <t>Cursor Agent / revisión técnica automatizada</t>
        </is>
      </c>
      <c r="K50" s="3" t="inlineStr">
        <is>
          <t>main@1.3.0</t>
        </is>
      </c>
      <c r="L50" s="3" t="inlineStr"/>
      <c r="M50" s="3" t="inlineStr">
        <is>
          <t>Repositorio Calzatura Vilchez V3</t>
        </is>
      </c>
      <c r="N50" s="3" t="inlineStr">
        <is>
          <t>Alta</t>
        </is>
      </c>
      <c r="O50" s="3" t="inlineStr">
        <is>
          <t>No</t>
        </is>
      </c>
      <c r="P50" s="3" t="inlineStr">
        <is>
          <t>Soporta operación de tienda física sin exponer panel completo.</t>
        </is>
      </c>
    </row>
    <row r="51" ht="42" customHeight="1">
      <c r="A51" s="4" t="inlineStr">
        <is>
          <t>CV-050</t>
        </is>
      </c>
      <c r="B51" s="4" t="inlineStr">
        <is>
          <t>BOLT-WEB-050</t>
        </is>
      </c>
      <c r="C51" s="4" t="inlineStr"/>
      <c r="D51" s="4" t="inlineStr">
        <is>
          <t>1.6.0</t>
        </is>
      </c>
      <c r="E51" s="4" t="inlineStr">
        <is>
          <t>Web 1.6.0 — Registro, perfil, favoritos, DNI pgcrypto, App Check.</t>
        </is>
      </c>
      <c r="F51" s="4" t="inlineStr">
        <is>
          <t>PRODUCCION</t>
        </is>
      </c>
      <c r="G51" s="4" t="inlineStr">
        <is>
          <t>INTEGRADO</t>
        </is>
      </c>
      <c r="H51" s="4" t="inlineStr">
        <is>
          <t>2026-05-31</t>
        </is>
      </c>
      <c r="I51" s="4" t="inlineStr">
        <is>
          <t>Serpa Sedano Yeferson Wilson</t>
        </is>
      </c>
      <c r="J51" s="4" t="inlineStr">
        <is>
          <t>Cursor Agent / revisión técnica automatizada</t>
        </is>
      </c>
      <c r="K51" s="4" t="inlineStr">
        <is>
          <t>main@1.6.0</t>
        </is>
      </c>
      <c r="L51" s="4" t="inlineStr"/>
      <c r="M51" s="4" t="inlineStr">
        <is>
          <t>Repositorio Calzatura Vilchez V3</t>
        </is>
      </c>
      <c r="N51" s="4" t="inlineStr">
        <is>
          <t>Alta</t>
        </is>
      </c>
      <c r="O51" s="4" t="inlineStr">
        <is>
          <t>No</t>
        </is>
      </c>
      <c r="P51" s="4" t="inlineStr">
        <is>
          <t>No se colocan secretos de DNI en frontend.</t>
        </is>
      </c>
    </row>
    <row r="52" ht="42" customHeight="1">
      <c r="A52" s="3" t="inlineStr">
        <is>
          <t>CV-051</t>
        </is>
      </c>
      <c r="B52" s="3" t="inlineStr">
        <is>
          <t>BOLT-WEB-051</t>
        </is>
      </c>
      <c r="C52" s="3" t="inlineStr"/>
      <c r="D52" s="3" t="inlineStr">
        <is>
          <t>1.9.0</t>
        </is>
      </c>
      <c r="E52" s="3" t="inlineStr">
        <is>
          <t>Web 1.9.0 — RLS, BFF fail-closed, ZAP prod, rate limit, auditoría PII.</t>
        </is>
      </c>
      <c r="F52" s="3" t="inlineStr">
        <is>
          <t>PRODUCCION</t>
        </is>
      </c>
      <c r="G52" s="3" t="inlineStr">
        <is>
          <t>INTEGRADO</t>
        </is>
      </c>
      <c r="H52" s="3" t="inlineStr">
        <is>
          <t>2026-06-16</t>
        </is>
      </c>
      <c r="I52" s="3" t="inlineStr">
        <is>
          <t>Serpa Sedano Yeferson Wilson</t>
        </is>
      </c>
      <c r="J52" s="3" t="inlineStr">
        <is>
          <t>Cursor Agent / revisión técnica automatizada</t>
        </is>
      </c>
      <c r="K52" s="3" t="inlineStr">
        <is>
          <t>main@1.9.0</t>
        </is>
      </c>
      <c r="L52" s="3" t="inlineStr"/>
      <c r="M52" s="3" t="inlineStr">
        <is>
          <t>Repositorio Calzatura Vilchez V3</t>
        </is>
      </c>
      <c r="N52" s="3" t="inlineStr">
        <is>
          <t>Alta</t>
        </is>
      </c>
      <c r="O52" s="3" t="inlineStr">
        <is>
          <t>No</t>
        </is>
      </c>
      <c r="P52" s="3" t="inlineStr">
        <is>
          <t>SUPABASE_SERVICE_ROLE_KEY y DNI_LOOKUP_PROOF_SECRET no pertenecen al frontend.</t>
        </is>
      </c>
    </row>
    <row r="53" ht="42" customHeight="1">
      <c r="A53" s="4" t="inlineStr">
        <is>
          <t>CV-052</t>
        </is>
      </c>
      <c r="B53" s="4" t="inlineStr">
        <is>
          <t>BOLT-WEB-052</t>
        </is>
      </c>
      <c r="C53" s="4" t="inlineStr"/>
      <c r="D53" s="4" t="inlineStr">
        <is>
          <t>1.9.0</t>
        </is>
      </c>
      <c r="E53" s="4" t="inlineStr">
        <is>
          <t>Web 1.9.0 — v1.9: continuidad ops documentada post drill.</t>
        </is>
      </c>
      <c r="F53" s="4" t="inlineStr">
        <is>
          <t>PRODUCCION</t>
        </is>
      </c>
      <c r="G53" s="4" t="inlineStr">
        <is>
          <t>INTEGRADO</t>
        </is>
      </c>
      <c r="H53" s="4" t="inlineStr">
        <is>
          <t>2026-06-16</t>
        </is>
      </c>
      <c r="I53" s="4" t="inlineStr">
        <is>
          <t>Serpa Sedano Yeferson Wilson</t>
        </is>
      </c>
      <c r="J53" s="4" t="inlineStr">
        <is>
          <t>Cursor Agent / revisión técnica automatizada</t>
        </is>
      </c>
      <c r="K53" s="4" t="inlineStr">
        <is>
          <t>main@1.9.0</t>
        </is>
      </c>
      <c r="L53" s="4" t="inlineStr"/>
      <c r="M53" s="4" t="inlineStr">
        <is>
          <t>Repositorio Calzatura Vilchez V3</t>
        </is>
      </c>
      <c r="N53" s="4" t="inlineStr">
        <is>
          <t>Alta</t>
        </is>
      </c>
      <c r="O53" s="4" t="inlineStr">
        <is>
          <t>No</t>
        </is>
      </c>
      <c r="P53" s="4" t="inlineStr">
        <is>
          <t>Alineado con ISO 22301.</t>
        </is>
      </c>
    </row>
    <row r="54" ht="42" customHeight="1">
      <c r="A54" s="3" t="inlineStr">
        <is>
          <t>CV-053</t>
        </is>
      </c>
      <c r="B54" s="3" t="inlineStr">
        <is>
          <t>BOLT-WEB-053</t>
        </is>
      </c>
      <c r="C54" s="3" t="inlineStr"/>
      <c r="D54" s="3" t="inlineStr">
        <is>
          <t>1.7.0</t>
        </is>
      </c>
      <c r="E54" s="3" t="inlineStr">
        <is>
          <t>Web 1.7.0 — v1.7: ai-backtest-gate + data_sufficient + model card.</t>
        </is>
      </c>
      <c r="F54" s="3" t="inlineStr">
        <is>
          <t>PRODUCCION</t>
        </is>
      </c>
      <c r="G54" s="3" t="inlineStr">
        <is>
          <t>INTEGRADO</t>
        </is>
      </c>
      <c r="H54" s="3" t="inlineStr">
        <is>
          <t>2026-06-08</t>
        </is>
      </c>
      <c r="I54" s="3" t="inlineStr">
        <is>
          <t>Serpa Sedano Yeferson Wilson</t>
        </is>
      </c>
      <c r="J54" s="3" t="inlineStr">
        <is>
          <t>Cursor Agent / revisión técnica automatizada</t>
        </is>
      </c>
      <c r="K54" s="3" t="inlineStr">
        <is>
          <t>main@1.7.0</t>
        </is>
      </c>
      <c r="L54" s="3" t="inlineStr"/>
      <c r="M54" s="3" t="inlineStr">
        <is>
          <t>Repositorio Calzatura Vilchez V3</t>
        </is>
      </c>
      <c r="N54" s="3" t="inlineStr">
        <is>
          <t>Alta</t>
        </is>
      </c>
      <c r="O54" s="3" t="inlineStr">
        <is>
          <t>No</t>
        </is>
      </c>
      <c r="P54" s="3" t="inlineStr">
        <is>
          <t>Mantiene evidencia de métricas por versión.</t>
        </is>
      </c>
    </row>
    <row r="55" ht="42" customHeight="1">
      <c r="A55" s="4" t="inlineStr">
        <is>
          <t>CV-054</t>
        </is>
      </c>
      <c r="B55" s="4" t="inlineStr">
        <is>
          <t>BOLT-WEB-054</t>
        </is>
      </c>
      <c r="C55" s="4" t="inlineStr"/>
      <c r="D55" s="4" t="inlineStr">
        <is>
          <t>1.9.0</t>
        </is>
      </c>
      <c r="E55" s="4" t="inlineStr">
        <is>
          <t>Web 1.9.0 — v1.9: SonarQube + mantenibilidad 100% verificable.</t>
        </is>
      </c>
      <c r="F55" s="4" t="inlineStr">
        <is>
          <t>PRODUCCION</t>
        </is>
      </c>
      <c r="G55" s="4" t="inlineStr">
        <is>
          <t>INTEGRADO</t>
        </is>
      </c>
      <c r="H55" s="4" t="inlineStr">
        <is>
          <t>2026-06-16</t>
        </is>
      </c>
      <c r="I55" s="4" t="inlineStr">
        <is>
          <t>Serpa Sedano Yeferson Wilson</t>
        </is>
      </c>
      <c r="J55" s="4" t="inlineStr">
        <is>
          <t>Cursor Agent / revisión técnica automatizada</t>
        </is>
      </c>
      <c r="K55" s="4" t="inlineStr">
        <is>
          <t>main@1.9.0</t>
        </is>
      </c>
      <c r="L55" s="4" t="inlineStr"/>
      <c r="M55" s="4" t="inlineStr">
        <is>
          <t>Repositorio Calzatura Vilchez V3</t>
        </is>
      </c>
      <c r="N55" s="4" t="inlineStr">
        <is>
          <t>Alta</t>
        </is>
      </c>
      <c r="O55" s="4" t="inlineStr">
        <is>
          <t>No</t>
        </is>
      </c>
      <c r="P55" s="4" t="inlineStr">
        <is>
          <t>El control se mantiene como evidencia empresarial.</t>
        </is>
      </c>
    </row>
    <row r="56" ht="42" customHeight="1">
      <c r="A56" s="3" t="inlineStr">
        <is>
          <t>CV-055</t>
        </is>
      </c>
      <c r="B56" s="3" t="inlineStr">
        <is>
          <t>BOLT-WEB-055</t>
        </is>
      </c>
      <c r="C56" s="3" t="inlineStr"/>
      <c r="D56" s="3" t="inlineStr">
        <is>
          <t>1.7.0</t>
        </is>
      </c>
      <c r="E56" s="3" t="inlineStr">
        <is>
          <t>Web 1.7.0 — v1.7: landings públicas campaña comercial.</t>
        </is>
      </c>
      <c r="F56" s="3" t="inlineStr">
        <is>
          <t>PRODUCCION</t>
        </is>
      </c>
      <c r="G56" s="3" t="inlineStr">
        <is>
          <t>INTEGRADO</t>
        </is>
      </c>
      <c r="H56" s="3" t="inlineStr">
        <is>
          <t>2026-06-08</t>
        </is>
      </c>
      <c r="I56" s="3" t="inlineStr">
        <is>
          <t>Serpa Sedano Yeferson Wilson</t>
        </is>
      </c>
      <c r="J56" s="3" t="inlineStr">
        <is>
          <t>Cursor Agent / revisión técnica automatizada</t>
        </is>
      </c>
      <c r="K56" s="3" t="inlineStr">
        <is>
          <t>main@1.7.0</t>
        </is>
      </c>
      <c r="L56" s="3" t="inlineStr"/>
      <c r="M56" s="3" t="inlineStr">
        <is>
          <t>Repositorio Calzatura Vilchez V3</t>
        </is>
      </c>
      <c r="N56" s="3" t="inlineStr">
        <is>
          <t>Alta</t>
        </is>
      </c>
      <c r="O56" s="3" t="inlineStr">
        <is>
          <t>No</t>
        </is>
      </c>
      <c r="P56" s="3" t="inlineStr">
        <is>
          <t>Soporta macroproceso comercial sin invadir áreas fuera de alcance.</t>
        </is>
      </c>
    </row>
    <row r="57" ht="42" customHeight="1">
      <c r="A57" s="4" t="inlineStr">
        <is>
          <t>CV-056</t>
        </is>
      </c>
      <c r="B57" s="4" t="inlineStr">
        <is>
          <t>BOLT-IA-001</t>
        </is>
      </c>
      <c r="C57" s="4" t="inlineStr">
        <is>
          <t>BOLT-WEB-024</t>
        </is>
      </c>
      <c r="D57" s="4" t="inlineStr">
        <is>
          <t>1.7.0</t>
        </is>
      </c>
      <c r="E57" s="4" t="inlineStr">
        <is>
          <t>Web 1.7.0 — FastAPI combined + campaign endpoints Render.</t>
        </is>
      </c>
      <c r="F57" s="4" t="inlineStr">
        <is>
          <t>PRODUCCION</t>
        </is>
      </c>
      <c r="G57" s="4" t="inlineStr">
        <is>
          <t>INTEGRADO</t>
        </is>
      </c>
      <c r="H57" s="4" t="inlineStr">
        <is>
          <t>2026-06-08</t>
        </is>
      </c>
      <c r="I57" s="4" t="inlineStr">
        <is>
          <t>Serpa Sedano Yeferson Wilson</t>
        </is>
      </c>
      <c r="J57" s="4" t="inlineStr">
        <is>
          <t>Cursor Agent / revisión técnica automatizada</t>
        </is>
      </c>
      <c r="K57" s="4" t="inlineStr">
        <is>
          <t>main@1.7.0</t>
        </is>
      </c>
      <c r="L57" s="4" t="inlineStr"/>
      <c r="M57" s="4" t="inlineStr">
        <is>
          <t>Repositorio Calzatura Vilchez V3</t>
        </is>
      </c>
      <c r="N57" s="4" t="inlineStr">
        <is>
          <t>Alta</t>
        </is>
      </c>
      <c r="O57" s="4" t="inlineStr">
        <is>
          <t>No</t>
        </is>
      </c>
      <c r="P57" s="4" t="inlineStr">
        <is>
          <t>Componente ai-service en producción Render.</t>
        </is>
      </c>
    </row>
    <row r="58" ht="42" customHeight="1">
      <c r="A58" s="3" t="inlineStr">
        <is>
          <t>CV-057</t>
        </is>
      </c>
      <c r="B58" s="3" t="inlineStr">
        <is>
          <t>BOLT-IA-002</t>
        </is>
      </c>
      <c r="C58" s="3" t="inlineStr">
        <is>
          <t>BOLT-WEB-024</t>
        </is>
      </c>
      <c r="D58" s="3" t="inlineStr">
        <is>
          <t>1.7.0</t>
        </is>
      </c>
      <c r="E58" s="3" t="inlineStr">
        <is>
          <t>Web 1.7.0 — IRE v1.2 fórmula 40/35/25 + proyección horizonte.</t>
        </is>
      </c>
      <c r="F58" s="3" t="inlineStr">
        <is>
          <t>PRODUCCION</t>
        </is>
      </c>
      <c r="G58" s="3" t="inlineStr">
        <is>
          <t>INTEGRADO</t>
        </is>
      </c>
      <c r="H58" s="3" t="inlineStr">
        <is>
          <t>2026-06-08</t>
        </is>
      </c>
      <c r="I58" s="3" t="inlineStr">
        <is>
          <t>Serpa Sedano Yeferson Wilson</t>
        </is>
      </c>
      <c r="J58" s="3" t="inlineStr">
        <is>
          <t>Cursor Agent / revisión técnica automatizada</t>
        </is>
      </c>
      <c r="K58" s="3" t="inlineStr">
        <is>
          <t>main@1.7.0</t>
        </is>
      </c>
      <c r="L58" s="3" t="inlineStr"/>
      <c r="M58" s="3" t="inlineStr">
        <is>
          <t>Repositorio Calzatura Vilchez V3</t>
        </is>
      </c>
      <c r="N58" s="3" t="inlineStr">
        <is>
          <t>Alta</t>
        </is>
      </c>
      <c r="O58" s="3" t="inlineStr">
        <is>
          <t>No</t>
        </is>
      </c>
      <c r="P58" s="3" t="inlineStr">
        <is>
          <t>Componente ai-service en producción Render.</t>
        </is>
      </c>
    </row>
    <row r="59" ht="42" customHeight="1">
      <c r="A59" s="4" t="inlineStr">
        <is>
          <t>CV-058</t>
        </is>
      </c>
      <c r="B59" s="4" t="inlineStr">
        <is>
          <t>BOLT-IA-003</t>
        </is>
      </c>
      <c r="C59" s="4" t="inlineStr">
        <is>
          <t>BOLT-WEB-024</t>
        </is>
      </c>
      <c r="D59" s="4" t="inlineStr">
        <is>
          <t>1.6.0</t>
        </is>
      </c>
      <c r="E59" s="4" t="inlineStr">
        <is>
          <t>Web 1.6.0 — Random Forest demanda + fallback conservador.</t>
        </is>
      </c>
      <c r="F59" s="4" t="inlineStr">
        <is>
          <t>PRODUCCION</t>
        </is>
      </c>
      <c r="G59" s="4" t="inlineStr">
        <is>
          <t>INTEGRADO</t>
        </is>
      </c>
      <c r="H59" s="4" t="inlineStr">
        <is>
          <t>2026-05-31</t>
        </is>
      </c>
      <c r="I59" s="4" t="inlineStr">
        <is>
          <t>Serpa Sedano Yeferson Wilson</t>
        </is>
      </c>
      <c r="J59" s="4" t="inlineStr">
        <is>
          <t>Cursor Agent / revisión técnica automatizada</t>
        </is>
      </c>
      <c r="K59" s="4" t="inlineStr">
        <is>
          <t>main@1.6.0</t>
        </is>
      </c>
      <c r="L59" s="4" t="inlineStr"/>
      <c r="M59" s="4" t="inlineStr">
        <is>
          <t>Repositorio Calzatura Vilchez V3</t>
        </is>
      </c>
      <c r="N59" s="4" t="inlineStr">
        <is>
          <t>Alta</t>
        </is>
      </c>
      <c r="O59" s="4" t="inlineStr">
        <is>
          <t>No</t>
        </is>
      </c>
      <c r="P59" s="4" t="inlineStr">
        <is>
          <t>Componente ai-service en producción Render.</t>
        </is>
      </c>
    </row>
    <row r="60" ht="42" customHeight="1">
      <c r="A60" s="3" t="inlineStr">
        <is>
          <t>CV-059</t>
        </is>
      </c>
      <c r="B60" s="3" t="inlineStr">
        <is>
          <t>BOLT-IA-004</t>
        </is>
      </c>
      <c r="C60" s="3" t="inlineStr">
        <is>
          <t>BOLT-WEB-024</t>
        </is>
      </c>
      <c r="D60" s="3" t="inlineStr">
        <is>
          <t>1.7.0</t>
        </is>
      </c>
      <c r="E60" s="3" t="inlineStr">
        <is>
          <t>Web 1.7.0 — modelo_estado + ireHistorial persistencia Supabase.</t>
        </is>
      </c>
      <c r="F60" s="3" t="inlineStr">
        <is>
          <t>PRODUCCION</t>
        </is>
      </c>
      <c r="G60" s="3" t="inlineStr">
        <is>
          <t>INTEGRADO</t>
        </is>
      </c>
      <c r="H60" s="3" t="inlineStr">
        <is>
          <t>2026-06-08</t>
        </is>
      </c>
      <c r="I60" s="3" t="inlineStr">
        <is>
          <t>Serpa Sedano Yeferson Wilson</t>
        </is>
      </c>
      <c r="J60" s="3" t="inlineStr">
        <is>
          <t>Cursor Agent / revisión técnica automatizada</t>
        </is>
      </c>
      <c r="K60" s="3" t="inlineStr">
        <is>
          <t>main@1.7.0</t>
        </is>
      </c>
      <c r="L60" s="3" t="inlineStr"/>
      <c r="M60" s="3" t="inlineStr">
        <is>
          <t>Repositorio Calzatura Vilchez V3</t>
        </is>
      </c>
      <c r="N60" s="3" t="inlineStr">
        <is>
          <t>Alta</t>
        </is>
      </c>
      <c r="O60" s="3" t="inlineStr">
        <is>
          <t>No</t>
        </is>
      </c>
      <c r="P60" s="3" t="inlineStr">
        <is>
          <t>Componente ai-service en producción Render.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8" customWidth="1" min="3" max="3"/>
    <col width="32" customWidth="1" min="4" max="4"/>
    <col width="38" customWidth="1" min="5" max="5"/>
    <col width="38" customWidth="1" min="6" max="6"/>
    <col width="22" customWidth="1" min="7" max="7"/>
    <col width="10" customWidth="1" min="8" max="8"/>
    <col width="12" customWidth="1" min="9" max="9"/>
  </cols>
  <sheetData>
    <row r="1" ht="36" customHeight="1">
      <c r="A1" s="2" t="inlineStr">
        <is>
          <t>ID_BOLT</t>
        </is>
      </c>
      <c r="B1" s="2" t="inlineStr">
        <is>
          <t>INTENT</t>
        </is>
      </c>
      <c r="C1" s="2" t="inlineStr">
        <is>
          <t>REQUERIMIENTO</t>
        </is>
      </c>
      <c r="D1" s="2" t="inlineStr">
        <is>
          <t>DISEÑO</t>
        </is>
      </c>
      <c r="E1" s="2" t="inlineStr">
        <is>
          <t>DESARROLLO</t>
        </is>
      </c>
      <c r="F1" s="2" t="inlineStr">
        <is>
          <t>QA</t>
        </is>
      </c>
      <c r="G1" s="2" t="inlineStr">
        <is>
          <t>PRODUCCION</t>
        </is>
      </c>
      <c r="H1" s="2" t="inlineStr">
        <is>
          <t>RESULTADO</t>
        </is>
      </c>
      <c r="I1" s="2" t="inlineStr">
        <is>
          <t>ULTIMA_ACTUALIZACION</t>
        </is>
      </c>
    </row>
    <row r="2" ht="42" customHeight="1">
      <c r="A2" s="3" t="inlineStr">
        <is>
          <t>BOLT-WEB-024</t>
        </is>
      </c>
      <c r="B2" s="3" t="inlineStr">
        <is>
          <t>Mostrar predicciones, métricas, IRE, campañas y estado de suficiencia de datos para apoyar decisiones comerciales.</t>
        </is>
      </c>
      <c r="C2" s="3" t="inlineStr">
        <is>
          <t>RF-006/007; HU-IA-001; 07-modulo-ia v1.2</t>
        </is>
      </c>
      <c r="D2" s="3" t="inlineStr">
        <is>
          <t>CRISP-ML(Q) + IRE 40/35/25 — Haakman 41; Duan 09</t>
        </is>
      </c>
      <c r="E2" s="3" t="inlineStr">
        <is>
          <t>AdminPredictions.tsx + BFF proxy /api/predict/combined</t>
        </is>
      </c>
      <c r="F2" s="3" t="inlineStr">
        <is>
          <t>admin-predictions.spec.ts; admin-ire-dashboard.spec.ts; pytest test_risk</t>
        </is>
      </c>
      <c r="G2" s="3" t="inlineStr">
        <is>
          <t>Firebase Hosting + Render ai-service — VERDE</t>
        </is>
      </c>
      <c r="H2" s="3" t="inlineStr">
        <is>
          <t>VERDE</t>
        </is>
      </c>
      <c r="I2" s="3" t="inlineStr">
        <is>
          <t>2026-06-19</t>
        </is>
      </c>
    </row>
    <row r="3" ht="42" customHeight="1">
      <c r="A3" s="4" t="inlineStr">
        <is>
          <t>BOLT-WEB-053</t>
        </is>
      </c>
      <c r="B3" s="4" t="inlineStr">
        <is>
          <t>Controlar backtesting, suficiencia de datos, reporte de calidad y métricas de predicción para que la IA sea auditable.</t>
        </is>
      </c>
      <c r="C3" s="4" t="inlineStr">
        <is>
          <t>RNF-004/008; ISO 42001 CTL-42001-09</t>
        </is>
      </c>
      <c r="D3" s="4" t="inlineStr">
        <is>
          <t>Gate backtest MAPE — Makridakis 13; Choi 40 data quality</t>
        </is>
      </c>
      <c r="E3" s="4" t="inlineStr">
        <is>
          <t>scripts/ai-backtest-gate.mjs; predictionDataQuality.test.ts</t>
        </is>
      </c>
      <c r="F3" s="4" t="inlineStr">
        <is>
          <t>node ai-backtest-gate.mjs --run; Vitest data_sufficient</t>
        </is>
      </c>
      <c r="G3" s="4" t="inlineStr">
        <is>
          <t>CI ops + docs/ops/controles-devops-ia.md</t>
        </is>
      </c>
      <c r="H3" s="4" t="inlineStr">
        <is>
          <t>VERDE</t>
        </is>
      </c>
      <c r="I3" s="4" t="inlineStr">
        <is>
          <t>2026-06-19</t>
        </is>
      </c>
    </row>
    <row r="4" ht="42" customHeight="1">
      <c r="A4" s="3" t="inlineStr">
        <is>
          <t>BOLT-IA-001</t>
        </is>
      </c>
      <c r="B4" s="3" t="inlineStr">
        <is>
          <t>Exponer API FastAPI de predicción combinada, demanda, IRE y alertas de stock.</t>
        </is>
      </c>
      <c r="C4" s="3" t="inlineStr">
        <is>
          <t>RF-007; contrato API OpenAPI</t>
        </is>
      </c>
      <c r="D4" s="3" t="inlineStr">
        <is>
          <t>Microservicio FastAPI — Jamshidi 28; Paleyes 32</t>
        </is>
      </c>
      <c r="E4" s="3" t="inlineStr">
        <is>
          <t>ai-service/main.py endpoints predict/combined</t>
        </is>
      </c>
      <c r="F4" s="3" t="inlineStr">
        <is>
          <t>test_api_contract.py; test_firebase_verifier.py</t>
        </is>
      </c>
      <c r="G4" s="3" t="inlineStr">
        <is>
          <t>Docker Render; health check</t>
        </is>
      </c>
      <c r="H4" s="3" t="inlineStr">
        <is>
          <t>VERDE</t>
        </is>
      </c>
      <c r="I4" s="3" t="inlineStr">
        <is>
          <t>2026-06-19</t>
        </is>
      </c>
    </row>
    <row r="5" ht="42" customHeight="1">
      <c r="A5" s="4" t="inlineStr">
        <is>
          <t>BOLT-IA-002</t>
        </is>
      </c>
      <c r="B5" s="4" t="inlineStr">
        <is>
          <t>Calcular IRE 0-100 con dimensiones stock/ingresos/demanda y niveles de riesgo.</t>
        </is>
      </c>
      <c r="C5" s="4" t="inlineStr">
        <is>
          <t>RF-006; RNF-007 explicabilidad</t>
        </is>
      </c>
      <c r="D5" s="4" t="inlineStr">
        <is>
          <t>IRE reglas — Duan 09; NO Altman quiebra</t>
        </is>
      </c>
      <c r="E5" s="4" t="inlineStr">
        <is>
          <t>ai-service/models/risk.py compute_ire</t>
        </is>
      </c>
      <c r="F5" s="4" t="inlineStr">
        <is>
          <t>test_risk.py invariantes pesos/umbrales/contribuciones</t>
        </is>
      </c>
      <c r="G5" s="4" t="inlineStr">
        <is>
          <t>ireHistorial persistido</t>
        </is>
      </c>
      <c r="H5" s="4" t="inlineStr">
        <is>
          <t>VERDE</t>
        </is>
      </c>
      <c r="I5" s="4" t="inlineStr">
        <is>
          <t>2026-06-19</t>
        </is>
      </c>
    </row>
    <row r="6" ht="42" customHeight="1">
      <c r="A6" s="3" t="inlineStr">
        <is>
          <t>BOLT-IA-003</t>
        </is>
      </c>
      <c r="B6" s="3" t="inlineStr">
        <is>
          <t>Entrenar y ejecutar RandomForestRegressor para predicción de demanda por producto.</t>
        </is>
      </c>
      <c r="C6" s="3" t="inlineStr">
        <is>
          <t>RF-007 demanda por producto</t>
        </is>
      </c>
      <c r="D6" s="3" t="inlineStr">
        <is>
          <t>Random Forest — Breiman 35; fallback conservador</t>
        </is>
      </c>
      <c r="E6" s="3" t="inlineStr">
        <is>
          <t>ai-service/models/demand.py</t>
        </is>
      </c>
      <c r="F6" s="3" t="inlineStr">
        <is>
          <t>test_demand.py; evaluate.py backtest</t>
        </is>
      </c>
      <c r="G6" s="3" t="inlineStr">
        <is>
          <t>modelo_estado + data_sufficient flag</t>
        </is>
      </c>
      <c r="H6" s="3" t="inlineStr">
        <is>
          <t>VERDE</t>
        </is>
      </c>
      <c r="I6" s="3" t="inlineStr">
        <is>
          <t>2026-06-19</t>
        </is>
      </c>
    </row>
    <row r="7" ht="42" customHeight="1">
      <c r="A7" s="4" t="inlineStr">
        <is>
          <t>BOLT-IA-004</t>
        </is>
      </c>
      <c r="B7" s="4" t="inlineStr">
        <is>
          <t>Persistir historial IRE, estado del modelo y lectura de ventas desde Supabase.</t>
        </is>
      </c>
      <c r="C7" s="4" t="inlineStr">
        <is>
          <t>RNF-009 trazabilidad</t>
        </is>
      </c>
      <c r="D7" s="4" t="inlineStr">
        <is>
          <t>ISO 25012 + 42001 datos — Amba 12; Lwakatare 29</t>
        </is>
      </c>
      <c r="E7" s="4" t="inlineStr">
        <is>
          <t>supabase_client.py; ire_model.py</t>
        </is>
      </c>
      <c r="F7" s="4" t="inlineStr">
        <is>
          <t>test_supabase_client.py mocks</t>
        </is>
      </c>
      <c r="G7" s="4" t="inlineStr">
        <is>
          <t>Migraciones ireHistorial/modeloEstado</t>
        </is>
      </c>
      <c r="H7" s="4" t="inlineStr">
        <is>
          <t>VERDE</t>
        </is>
      </c>
      <c r="I7" s="4" t="inlineStr">
        <is>
          <t>2026-06-19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52" customWidth="1" min="5" max="5"/>
  </cols>
  <sheetData>
    <row r="1" ht="36" customHeight="1">
      <c r="A1" s="2" t="inlineStr">
        <is>
          <t>ID_BOLT</t>
        </is>
      </c>
      <c r="B1" s="2" t="inlineStr">
        <is>
          <t>DEPENDE_DE</t>
        </is>
      </c>
      <c r="C1" s="2" t="inlineStr">
        <is>
          <t>TIPO_DEPENDENCIA</t>
        </is>
      </c>
      <c r="D1" s="2" t="inlineStr">
        <is>
          <t>IMPACTO</t>
        </is>
      </c>
      <c r="E1" s="2" t="inlineStr">
        <is>
          <t>OBSERVACION</t>
        </is>
      </c>
    </row>
    <row r="2" ht="42" customHeight="1">
      <c r="A2" s="3" t="inlineStr">
        <is>
          <t>BOLT-WEB-024</t>
        </is>
      </c>
      <c r="B2" s="3" t="inlineStr">
        <is>
          <t>BOLT-WEB-014</t>
        </is>
      </c>
      <c r="C2" s="3" t="inlineStr">
        <is>
          <t>Datos</t>
        </is>
      </c>
      <c r="D2" s="3" t="inlineStr">
        <is>
          <t>Alta</t>
        </is>
      </c>
      <c r="E2" s="3" t="inlineStr">
        <is>
          <t>IRE requiere ventasDiarias históricas.</t>
        </is>
      </c>
    </row>
    <row r="3" ht="42" customHeight="1">
      <c r="A3" s="4" t="inlineStr">
        <is>
          <t>BOLT-WEB-024</t>
        </is>
      </c>
      <c r="B3" s="4" t="inlineStr">
        <is>
          <t>BOLT-WEB-006</t>
        </is>
      </c>
      <c r="C3" s="4" t="inlineStr">
        <is>
          <t>Datos</t>
        </is>
      </c>
      <c r="D3" s="4" t="inlineStr">
        <is>
          <t>Alta</t>
        </is>
      </c>
      <c r="E3" s="4" t="inlineStr">
        <is>
          <t>Pedidos pagados alimentan demanda online.</t>
        </is>
      </c>
    </row>
    <row r="4" ht="42" customHeight="1">
      <c r="A4" s="3" t="inlineStr">
        <is>
          <t>BOLT-WEB-024</t>
        </is>
      </c>
      <c r="B4" s="3" t="inlineStr">
        <is>
          <t>BOLT-IA-001</t>
        </is>
      </c>
      <c r="C4" s="3" t="inlineStr">
        <is>
          <t>Servicio</t>
        </is>
      </c>
      <c r="D4" s="3" t="inlineStr">
        <is>
          <t>Alta</t>
        </is>
      </c>
      <c r="E4" s="3" t="inlineStr">
        <is>
          <t>UI admin consume API FastAPI.</t>
        </is>
      </c>
    </row>
    <row r="5" ht="42" customHeight="1">
      <c r="A5" s="4" t="inlineStr">
        <is>
          <t>BOLT-WEB-053</t>
        </is>
      </c>
      <c r="B5" s="4" t="inlineStr">
        <is>
          <t>BOLT-IA-001</t>
        </is>
      </c>
      <c r="C5" s="4" t="inlineStr">
        <is>
          <t>Gobierno</t>
        </is>
      </c>
      <c r="D5" s="4" t="inlineStr">
        <is>
          <t>Alta</t>
        </is>
      </c>
      <c r="E5" s="4" t="inlineStr">
        <is>
          <t>Controles de calidad sobre servicio IA.</t>
        </is>
      </c>
    </row>
    <row r="6" ht="42" customHeight="1">
      <c r="A6" s="3" t="inlineStr">
        <is>
          <t>BOLT-IA-002</t>
        </is>
      </c>
      <c r="B6" s="3" t="inlineStr">
        <is>
          <t>BOLT-IA-003</t>
        </is>
      </c>
      <c r="C6" s="3" t="inlineStr">
        <is>
          <t>Modelo</t>
        </is>
      </c>
      <c r="D6" s="3" t="inlineStr">
        <is>
          <t>Alta</t>
        </is>
      </c>
      <c r="E6" s="3" t="inlineStr">
        <is>
          <t>IRE usa salidas de predicción de demanda.</t>
        </is>
      </c>
    </row>
    <row r="7" ht="42" customHeight="1">
      <c r="A7" s="4" t="inlineStr">
        <is>
          <t>BOLT-IA-001</t>
        </is>
      </c>
      <c r="B7" s="4" t="inlineStr">
        <is>
          <t>BOLT-IA-004</t>
        </is>
      </c>
      <c r="C7" s="4" t="inlineStr">
        <is>
          <t>Datos</t>
        </is>
      </c>
      <c r="D7" s="4" t="inlineStr">
        <is>
          <t>Alta</t>
        </is>
      </c>
      <c r="E7" s="4" t="inlineStr">
        <is>
          <t>API depende de lectura Supabase.</t>
        </is>
      </c>
    </row>
    <row r="8" ht="42" customHeight="1">
      <c r="A8" s="3" t="inlineStr">
        <is>
          <t>BOLT-WEB-006</t>
        </is>
      </c>
      <c r="B8" s="3" t="inlineStr">
        <is>
          <t>BOLT-WEB-005</t>
        </is>
      </c>
      <c r="C8" s="3" t="inlineStr">
        <is>
          <t>Flujo</t>
        </is>
      </c>
      <c r="D8" s="3" t="inlineStr">
        <is>
          <t>Media</t>
        </is>
      </c>
      <c r="E8" s="3" t="inlineStr">
        <is>
          <t>Checkout parte del carrito activo.</t>
        </is>
      </c>
    </row>
    <row r="9" ht="42" customHeight="1">
      <c r="A9" s="4" t="inlineStr">
        <is>
          <t>BOLT-WEB-019</t>
        </is>
      </c>
      <c r="B9" s="4" t="inlineStr">
        <is>
          <t>BOLT-WEB-006</t>
        </is>
      </c>
      <c r="C9" s="4" t="inlineStr">
        <is>
          <t>Pago</t>
        </is>
      </c>
      <c r="D9" s="4" t="inlineStr">
        <is>
          <t>Alta</t>
        </is>
      </c>
      <c r="E9" s="4" t="inlineStr">
        <is>
          <t>Stripe/contraentrega tras checkout.</t>
        </is>
      </c>
    </row>
    <row r="10" ht="42" customHeight="1">
      <c r="A10" s="3" t="inlineStr">
        <is>
          <t>BOLT-WEB-025</t>
        </is>
      </c>
      <c r="B10" s="3" t="inlineStr">
        <is>
          <t>BOLT-WEB-024</t>
        </is>
      </c>
      <c r="C10" s="3" t="inlineStr">
        <is>
          <t>Calidad</t>
        </is>
      </c>
      <c r="D10" s="3" t="inlineStr">
        <is>
          <t>Media</t>
        </is>
      </c>
      <c r="E10" s="3" t="inlineStr">
        <is>
          <t>CI valida módulo IA antes de release.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2" customWidth="1" min="4" max="4"/>
    <col width="12" customWidth="1" min="5" max="5"/>
    <col width="22" customWidth="1" min="6" max="6"/>
    <col width="12" customWidth="1" min="7" max="7"/>
    <col width="48" customWidth="1" min="8" max="8"/>
  </cols>
  <sheetData>
    <row r="1" ht="36" customHeight="1">
      <c r="A1" s="2" t="inlineStr">
        <is>
          <t>MERGE_ID</t>
        </is>
      </c>
      <c r="B1" s="2" t="inlineStr">
        <is>
          <t>TIPO_MERGE</t>
        </is>
      </c>
      <c r="C1" s="2" t="inlineStr">
        <is>
          <t>RAMA_ORIGEN</t>
        </is>
      </c>
      <c r="D1" s="2" t="inlineStr">
        <is>
          <t>RAMA_DESTINO</t>
        </is>
      </c>
      <c r="E1" s="2" t="inlineStr">
        <is>
          <t>FECHA</t>
        </is>
      </c>
      <c r="F1" s="2" t="inlineStr">
        <is>
          <t>RESPONSABLE</t>
        </is>
      </c>
      <c r="G1" s="2" t="inlineStr">
        <is>
          <t>ESTADO</t>
        </is>
      </c>
      <c r="H1" s="2" t="inlineStr">
        <is>
          <t>OBSERVACION</t>
        </is>
      </c>
    </row>
    <row r="2" ht="42" customHeight="1">
      <c r="A2" s="3" t="inlineStr">
        <is>
          <t>MRG-001</t>
        </is>
      </c>
      <c r="B2" s="3" t="inlineStr">
        <is>
          <t>release → main</t>
        </is>
      </c>
      <c r="C2" s="3" t="inlineStr">
        <is>
          <t>release/1.0-bootstrap</t>
        </is>
      </c>
      <c r="D2" s="3" t="inlineStr">
        <is>
          <t>main</t>
        </is>
      </c>
      <c r="E2" s="3" t="inlineStr">
        <is>
          <t>2026-05-01</t>
        </is>
      </c>
      <c r="F2" s="3" t="inlineStr">
        <is>
          <t>Serpa Sedano Yeferson Wilson</t>
        </is>
      </c>
      <c r="G2" s="3" t="inlineStr">
        <is>
          <t>INTEGRADO</t>
        </is>
      </c>
      <c r="H2" s="3" t="inlineStr">
        <is>
          <t>v1.0.0 Catálogo, auth, pedidos base.</t>
        </is>
      </c>
    </row>
    <row r="3" ht="42" customHeight="1">
      <c r="A3" s="4" t="inlineStr">
        <is>
          <t>MRG-002</t>
        </is>
      </c>
      <c r="B3" s="4" t="inlineStr">
        <is>
          <t>release → main</t>
        </is>
      </c>
      <c r="C3" s="4" t="inlineStr">
        <is>
          <t>release/1.1-stock</t>
        </is>
      </c>
      <c r="D3" s="4" t="inlineStr">
        <is>
          <t>main</t>
        </is>
      </c>
      <c r="E3" s="4" t="inlineStr">
        <is>
          <t>2026-05-14</t>
        </is>
      </c>
      <c r="F3" s="4" t="inlineStr">
        <is>
          <t>Serpa Sedano Yeferson Wilson</t>
        </is>
      </c>
      <c r="G3" s="4" t="inlineStr">
        <is>
          <t>INTEGRADO</t>
        </is>
      </c>
      <c r="H3" s="4" t="inlineStr">
        <is>
          <t>v1.1.0 Movimientos stock y ventas admin.</t>
        </is>
      </c>
    </row>
    <row r="4" ht="42" customHeight="1">
      <c r="A4" s="3" t="inlineStr">
        <is>
          <t>MRG-003</t>
        </is>
      </c>
      <c r="B4" s="3" t="inlineStr">
        <is>
          <t>release → main</t>
        </is>
      </c>
      <c r="C4" s="3" t="inlineStr">
        <is>
          <t>release/1.2-ia-data</t>
        </is>
      </c>
      <c r="D4" s="3" t="inlineStr">
        <is>
          <t>main</t>
        </is>
      </c>
      <c r="E4" s="3" t="inlineStr">
        <is>
          <t>2026-05-16</t>
        </is>
      </c>
      <c r="F4" s="3" t="inlineStr">
        <is>
          <t>Serpa Sedano Yeferson Wilson</t>
        </is>
      </c>
      <c r="G4" s="3" t="inlineStr">
        <is>
          <t>INTEGRADO</t>
        </is>
      </c>
      <c r="H4" s="3" t="inlineStr">
        <is>
          <t>v1.2.0 ventasDiarias + ireHistorial.</t>
        </is>
      </c>
    </row>
    <row r="5" ht="42" customHeight="1">
      <c r="A5" s="4" t="inlineStr">
        <is>
          <t>MRG-004</t>
        </is>
      </c>
      <c r="B5" s="4" t="inlineStr">
        <is>
          <t>release → main</t>
        </is>
      </c>
      <c r="C5" s="4" t="inlineStr">
        <is>
          <t>release/1.3-pedidos</t>
        </is>
      </c>
      <c r="D5" s="4" t="inlineStr">
        <is>
          <t>main</t>
        </is>
      </c>
      <c r="E5" s="4" t="inlineStr">
        <is>
          <t>2026-05-19</t>
        </is>
      </c>
      <c r="F5" s="4" t="inlineStr">
        <is>
          <t>Serpa Sedano Yeferson Wilson</t>
        </is>
      </c>
      <c r="G5" s="4" t="inlineStr">
        <is>
          <t>INTEGRADO</t>
        </is>
      </c>
      <c r="H5" s="4" t="inlineStr">
        <is>
          <t>v1.3.0 RLS pedidos e idempotency.</t>
        </is>
      </c>
    </row>
    <row r="6" ht="42" customHeight="1">
      <c r="A6" s="3" t="inlineStr">
        <is>
          <t>MRG-005</t>
        </is>
      </c>
      <c r="B6" s="3" t="inlineStr">
        <is>
          <t>release → main</t>
        </is>
      </c>
      <c r="C6" s="3" t="inlineStr">
        <is>
          <t>release/1.5-legal</t>
        </is>
      </c>
      <c r="D6" s="3" t="inlineStr">
        <is>
          <t>main</t>
        </is>
      </c>
      <c r="E6" s="3" t="inlineStr">
        <is>
          <t>2026-05-26</t>
        </is>
      </c>
      <c r="F6" s="3" t="inlineStr">
        <is>
          <t>Serpa Sedano Yeferson Wilson</t>
        </is>
      </c>
      <c r="G6" s="3" t="inlineStr">
        <is>
          <t>INTEGRADO</t>
        </is>
      </c>
      <c r="H6" s="3" t="inlineStr">
        <is>
          <t>v1.5.0 Libro reclamaciones y legal.</t>
        </is>
      </c>
    </row>
    <row r="7" ht="42" customHeight="1">
      <c r="A7" s="4" t="inlineStr">
        <is>
          <t>MRG-006</t>
        </is>
      </c>
      <c r="B7" s="4" t="inlineStr">
        <is>
          <t>release → main</t>
        </is>
      </c>
      <c r="C7" s="4" t="inlineStr">
        <is>
          <t>release/1.7-ia-campanas</t>
        </is>
      </c>
      <c r="D7" s="4" t="inlineStr">
        <is>
          <t>main</t>
        </is>
      </c>
      <c r="E7" s="4" t="inlineStr">
        <is>
          <t>2026-06-08</t>
        </is>
      </c>
      <c r="F7" s="4" t="inlineStr">
        <is>
          <t>Serpa Sedano Yeferson Wilson</t>
        </is>
      </c>
      <c r="G7" s="4" t="inlineStr">
        <is>
          <t>INTEGRADO</t>
        </is>
      </c>
      <c r="H7" s="4" t="inlineStr">
        <is>
          <t>v1.7.0 IA campañas + modelo_estado.</t>
        </is>
      </c>
    </row>
    <row r="8" ht="42" customHeight="1">
      <c r="A8" s="3" t="inlineStr">
        <is>
          <t>MRG-007</t>
        </is>
      </c>
      <c r="B8" s="3" t="inlineStr">
        <is>
          <t>release → main</t>
        </is>
      </c>
      <c r="C8" s="3" t="inlineStr">
        <is>
          <t>release/1.8-admin-pedidos</t>
        </is>
      </c>
      <c r="D8" s="3" t="inlineStr">
        <is>
          <t>main</t>
        </is>
      </c>
      <c r="E8" s="3" t="inlineStr">
        <is>
          <t>2026-06-12</t>
        </is>
      </c>
      <c r="F8" s="3" t="inlineStr">
        <is>
          <t>Serpa Sedano Yeferson Wilson</t>
        </is>
      </c>
      <c r="G8" s="3" t="inlineStr">
        <is>
          <t>INTEGRADO</t>
        </is>
      </c>
      <c r="H8" s="3" t="inlineStr">
        <is>
          <t>v1.8.0 Mapas entrega y UX pedidos admin.</t>
        </is>
      </c>
    </row>
    <row r="9" ht="42" customHeight="1">
      <c r="A9" s="4" t="inlineStr">
        <is>
          <t>MRG-008</t>
        </is>
      </c>
      <c r="B9" s="4" t="inlineStr">
        <is>
          <t>release → main</t>
        </is>
      </c>
      <c r="C9" s="4" t="inlineStr">
        <is>
          <t>release/1.9-iso25000</t>
        </is>
      </c>
      <c r="D9" s="4" t="inlineStr">
        <is>
          <t>main</t>
        </is>
      </c>
      <c r="E9" s="4" t="inlineStr">
        <is>
          <t>2026-06-16</t>
        </is>
      </c>
      <c r="F9" s="4" t="inlineStr">
        <is>
          <t>Serpa Sedano Yeferson Wilson</t>
        </is>
      </c>
      <c r="G9" s="4" t="inlineStr">
        <is>
          <t>INTEGRADO</t>
        </is>
      </c>
      <c r="H9" s="4" t="inlineStr">
        <is>
          <t>v1.9.0 PKCS#7, qc_*, gates ISO 25000.</t>
        </is>
      </c>
    </row>
    <row r="10" ht="42" customHeight="1">
      <c r="A10" s="3" t="inlineStr">
        <is>
          <t>MRG-009</t>
        </is>
      </c>
      <c r="B10" s="3" t="inlineStr">
        <is>
          <t>hotfix → main</t>
        </is>
      </c>
      <c r="C10" s="3" t="inlineStr">
        <is>
          <t>fix/bff-manufacturers</t>
        </is>
      </c>
      <c r="D10" s="3" t="inlineStr">
        <is>
          <t>main</t>
        </is>
      </c>
      <c r="E10" s="3" t="inlineStr">
        <is>
          <t>2026-05-28</t>
        </is>
      </c>
      <c r="F10" s="3" t="inlineStr">
        <is>
          <t>Serpa Sedano Yeferson Wilson</t>
        </is>
      </c>
      <c r="G10" s="3" t="inlineStr">
        <is>
          <t>INTEGRADO</t>
        </is>
      </c>
      <c r="H10" s="3" t="inlineStr">
        <is>
          <t>Fabricantes vía BFF sin Supabase directo.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2" customWidth="1" min="4" max="4"/>
    <col width="58" customWidth="1" min="5" max="5"/>
    <col width="28" customWidth="1" min="6" max="6"/>
    <col width="22" customWidth="1" min="7" max="7"/>
  </cols>
  <sheetData>
    <row r="1" ht="36" customHeight="1">
      <c r="A1" s="2" t="inlineStr">
        <is>
          <t>FECHA</t>
        </is>
      </c>
      <c r="B1" s="2" t="inlineStr">
        <is>
          <t>ID_BOLT</t>
        </is>
      </c>
      <c r="C1" s="2" t="inlineStr">
        <is>
          <t>VERSION</t>
        </is>
      </c>
      <c r="D1" s="2" t="inlineStr">
        <is>
          <t>EVENTO</t>
        </is>
      </c>
      <c r="E1" s="2" t="inlineStr">
        <is>
          <t>DESCRIPCION_CAMBIO</t>
        </is>
      </c>
      <c r="F1" s="2" t="inlineStr">
        <is>
          <t>AGENTE</t>
        </is>
      </c>
      <c r="G1" s="2" t="inlineStr">
        <is>
          <t>RESPONSABLE</t>
        </is>
      </c>
    </row>
    <row r="2" ht="42" customHeight="1">
      <c r="A2" s="3" t="inlineStr">
        <is>
          <t>2026-06-19</t>
        </is>
      </c>
      <c r="B2" s="3" t="inlineStr">
        <is>
          <t>PLANTILLA</t>
        </is>
      </c>
      <c r="C2" s="3" t="inlineStr">
        <is>
          <t>1.2</t>
        </is>
      </c>
      <c r="D2" s="3" t="inlineStr">
        <is>
          <t>Gobierno IA V3</t>
        </is>
      </c>
      <c r="E2" s="3" t="inlineStr">
        <is>
          <t>Sync web 1.9.0: versiones por bolt, VERSIONES_WEB, formato celdas.</t>
        </is>
      </c>
      <c r="F2" s="3" t="inlineStr">
        <is>
          <t>Cursor Agent / revisión técnica automatizada</t>
        </is>
      </c>
      <c r="G2" s="3" t="inlineStr">
        <is>
          <t>Serpa Sedano Yeferson Wilson</t>
        </is>
      </c>
    </row>
    <row r="3" ht="42" customHeight="1">
      <c r="A3" s="4" t="inlineStr">
        <is>
          <t>2026-06-16</t>
        </is>
      </c>
      <c r="B3" s="4" t="inlineStr">
        <is>
          <t>BOLT-WEB-022</t>
        </is>
      </c>
      <c r="C3" s="4" t="inlineStr">
        <is>
          <t>1.9.0</t>
        </is>
      </c>
      <c r="D3" s="4" t="inlineStr">
        <is>
          <t>ISO + QC Supabase</t>
        </is>
      </c>
      <c r="E3" s="4" t="inlineStr">
        <is>
          <t>Migraciones qc_* + PKCS#7 + RLS service_role.</t>
        </is>
      </c>
      <c r="F3" s="4" t="inlineStr">
        <is>
          <t>Cursor Agent / revisión técnica automatizada</t>
        </is>
      </c>
      <c r="G3" s="4" t="inlineStr">
        <is>
          <t>Serpa Sedano Yeferson Wilson</t>
        </is>
      </c>
    </row>
    <row r="4" ht="42" customHeight="1">
      <c r="A4" s="3" t="inlineStr">
        <is>
          <t>2026-06-16</t>
        </is>
      </c>
      <c r="B4" s="3" t="inlineStr">
        <is>
          <t>BOLT-WEB-025</t>
        </is>
      </c>
      <c r="C4" s="3" t="inlineStr">
        <is>
          <t>1.9.0</t>
        </is>
      </c>
      <c r="D4" s="3" t="inlineStr">
        <is>
          <t>CI ISO 25000</t>
        </is>
      </c>
      <c r="E4" s="3" t="inlineStr">
        <is>
          <t>Gates mantenibilidad 100%, portabilidad, E2E multi-browser.</t>
        </is>
      </c>
      <c r="F4" s="3" t="inlineStr">
        <is>
          <t>Cursor Agent / revisión técnica automatizada</t>
        </is>
      </c>
      <c r="G4" s="3" t="inlineStr">
        <is>
          <t>Serpa Sedano Yeferson Wilson</t>
        </is>
      </c>
    </row>
    <row r="5" ht="42" customHeight="1">
      <c r="A5" s="4" t="inlineStr">
        <is>
          <t>2026-06-16</t>
        </is>
      </c>
      <c r="B5" s="4" t="inlineStr">
        <is>
          <t>BOLT-WEB-021</t>
        </is>
      </c>
      <c r="C5" s="4" t="inlineStr">
        <is>
          <t>1.9.0</t>
        </is>
      </c>
      <c r="D5" s="4" t="inlineStr">
        <is>
          <t>Seguridad DAST</t>
        </is>
      </c>
      <c r="E5" s="4" t="inlineStr">
        <is>
          <t>ZAP production v2 sin alertas altas.</t>
        </is>
      </c>
      <c r="F5" s="4" t="inlineStr">
        <is>
          <t>Cursor Agent / revisión técnica automatizada</t>
        </is>
      </c>
      <c r="G5" s="4" t="inlineStr">
        <is>
          <t>Serpa Sedano Yeferson Wilson</t>
        </is>
      </c>
    </row>
    <row r="6" ht="42" customHeight="1">
      <c r="A6" s="3" t="inlineStr">
        <is>
          <t>2026-06-12</t>
        </is>
      </c>
      <c r="B6" s="3" t="inlineStr">
        <is>
          <t>BOLT-WEB-012</t>
        </is>
      </c>
      <c r="C6" s="3" t="inlineStr">
        <is>
          <t>1.8.0</t>
        </is>
      </c>
      <c r="D6" s="3" t="inlineStr">
        <is>
          <t>Admin pedidos</t>
        </is>
      </c>
      <c r="E6" s="3" t="inlineStr">
        <is>
          <t>Buscador, paginación, mapa Google Maps en detalle.</t>
        </is>
      </c>
      <c r="F6" s="3" t="inlineStr">
        <is>
          <t>Cursor Agent / revisión técnica automatizada</t>
        </is>
      </c>
      <c r="G6" s="3" t="inlineStr">
        <is>
          <t>Serpa Sedano Yeferson Wilson</t>
        </is>
      </c>
    </row>
    <row r="7" ht="42" customHeight="1">
      <c r="A7" s="4" t="inlineStr">
        <is>
          <t>2026-06-12</t>
        </is>
      </c>
      <c r="B7" s="4" t="inlineStr">
        <is>
          <t>BOLT-WEB-037</t>
        </is>
      </c>
      <c r="C7" s="4" t="inlineStr">
        <is>
          <t>1.8.0</t>
        </is>
      </c>
      <c r="D7" s="4" t="inlineStr">
        <is>
          <t>Checkout entrega</t>
        </is>
      </c>
      <c r="E7" s="4" t="inlineStr">
        <is>
          <t>Geocodificación y rutas ORS/Nominatim.</t>
        </is>
      </c>
      <c r="F7" s="4" t="inlineStr">
        <is>
          <t>Cursor Agent / revisión técnica automatizada</t>
        </is>
      </c>
      <c r="G7" s="4" t="inlineStr">
        <is>
          <t>Serpa Sedano Yeferson Wilson</t>
        </is>
      </c>
    </row>
    <row r="8" ht="42" customHeight="1">
      <c r="A8" s="3" t="inlineStr">
        <is>
          <t>2026-06-08</t>
        </is>
      </c>
      <c r="B8" s="3" t="inlineStr">
        <is>
          <t>BOLT-WEB-024</t>
        </is>
      </c>
      <c r="C8" s="3" t="inlineStr">
        <is>
          <t>1.7.0</t>
        </is>
      </c>
      <c r="D8" s="3" t="inlineStr">
        <is>
          <t>Panel IRE v2</t>
        </is>
      </c>
      <c r="E8" s="3" t="inlineStr">
        <is>
          <t>Historial sparkline, campañas IA, tabs dashboard.</t>
        </is>
      </c>
      <c r="F8" s="3" t="inlineStr">
        <is>
          <t>Cursor Agent / revisión técnica automatizada</t>
        </is>
      </c>
      <c r="G8" s="3" t="inlineStr">
        <is>
          <t>Serpa Sedano Yeferson Wilson</t>
        </is>
      </c>
    </row>
    <row r="9" ht="42" customHeight="1">
      <c r="A9" s="4" t="inlineStr">
        <is>
          <t>2026-06-08</t>
        </is>
      </c>
      <c r="B9" s="4" t="inlineStr">
        <is>
          <t>BOLT-WEB-053</t>
        </is>
      </c>
      <c r="C9" s="4" t="inlineStr">
        <is>
          <t>1.7.0</t>
        </is>
      </c>
      <c r="D9" s="4" t="inlineStr">
        <is>
          <t>Gobierno modelo</t>
        </is>
      </c>
      <c r="E9" s="4" t="inlineStr">
        <is>
          <t>ai-backtest-gate, data_sufficient, model card.</t>
        </is>
      </c>
      <c r="F9" s="4" t="inlineStr">
        <is>
          <t>Cursor Agent / revisión técnica automatizada</t>
        </is>
      </c>
      <c r="G9" s="4" t="inlineStr">
        <is>
          <t>Serpa Sedano Yeferson Wilson</t>
        </is>
      </c>
    </row>
    <row r="10" ht="42" customHeight="1">
      <c r="A10" s="3" t="inlineStr">
        <is>
          <t>2026-06-08</t>
        </is>
      </c>
      <c r="B10" s="3" t="inlineStr">
        <is>
          <t>BOLT-IA-001</t>
        </is>
      </c>
      <c r="C10" s="3" t="inlineStr">
        <is>
          <t>1.7.0</t>
        </is>
      </c>
      <c r="D10" s="3" t="inlineStr">
        <is>
          <t>API campañas</t>
        </is>
      </c>
      <c r="E10" s="3" t="inlineStr">
        <is>
          <t>Endpoints campaign-detection y feedback.</t>
        </is>
      </c>
      <c r="F10" s="3" t="inlineStr">
        <is>
          <t>Cursor Agent / revisión técnica automatizada</t>
        </is>
      </c>
      <c r="G10" s="3" t="inlineStr">
        <is>
          <t>Serpa Sedano Yeferson Wilson</t>
        </is>
      </c>
    </row>
    <row r="11" ht="42" customHeight="1">
      <c r="A11" s="4" t="inlineStr">
        <is>
          <t>2026-05-31</t>
        </is>
      </c>
      <c r="B11" s="4" t="inlineStr">
        <is>
          <t>BOLT-WEB-045</t>
        </is>
      </c>
      <c r="C11" s="4" t="inlineStr">
        <is>
          <t>1.6.0</t>
        </is>
      </c>
      <c r="D11" s="4" t="inlineStr">
        <is>
          <t>Linter Supabase</t>
        </is>
      </c>
      <c r="E11" s="4" t="inlineStr">
        <is>
          <t>Remediation security invoker + policies.</t>
        </is>
      </c>
      <c r="F11" s="4" t="inlineStr">
        <is>
          <t>Cursor Agent / revisión técnica automatizada</t>
        </is>
      </c>
      <c r="G11" s="4" t="inlineStr">
        <is>
          <t>Serpa Sedano Yeferson Wilson</t>
        </is>
      </c>
    </row>
    <row r="12" ht="42" customHeight="1">
      <c r="A12" s="3" t="inlineStr">
        <is>
          <t>2026-05-26</t>
        </is>
      </c>
      <c r="B12" s="3" t="inlineStr">
        <is>
          <t>BOLT-WEB-029</t>
        </is>
      </c>
      <c r="C12" s="3" t="inlineStr">
        <is>
          <t>1.5.0</t>
        </is>
      </c>
      <c r="D12" s="3" t="inlineStr">
        <is>
          <t>Legal Perú</t>
        </is>
      </c>
      <c r="E12" s="3" t="inlineStr">
        <is>
          <t>Libro reclamaciones virtual Ley 29571.</t>
        </is>
      </c>
      <c r="F12" s="3" t="inlineStr">
        <is>
          <t>Cursor Agent / revisión técnica automatizada</t>
        </is>
      </c>
      <c r="G12" s="3" t="inlineStr">
        <is>
          <t>Serpa Sedano Yeferson Wilson</t>
        </is>
      </c>
    </row>
    <row r="13" ht="42" customHeight="1">
      <c r="A13" s="4" t="inlineStr">
        <is>
          <t>2026-05-19</t>
        </is>
      </c>
      <c r="B13" s="4" t="inlineStr">
        <is>
          <t>BOLT-WEB-014</t>
        </is>
      </c>
      <c r="C13" s="4" t="inlineStr">
        <is>
          <t>1.3.0</t>
        </is>
      </c>
      <c r="D13" s="4" t="inlineStr">
        <is>
          <t>Ventas admin</t>
        </is>
      </c>
      <c r="E13" s="4" t="inlineStr">
        <is>
          <t>Atomic hardening ventas y devoluciones.</t>
        </is>
      </c>
      <c r="F13" s="4" t="inlineStr">
        <is>
          <t>Cursor Agent / revisión técnica automatizada</t>
        </is>
      </c>
      <c r="G13" s="4" t="inlineStr">
        <is>
          <t>Serpa Sedano Yeferson Wilson</t>
        </is>
      </c>
    </row>
    <row r="14" ht="42" customHeight="1">
      <c r="A14" s="3" t="inlineStr">
        <is>
          <t>2026-05-16</t>
        </is>
      </c>
      <c r="B14" s="3" t="inlineStr">
        <is>
          <t>BOLT-IA-004</t>
        </is>
      </c>
      <c r="C14" s="3" t="inlineStr">
        <is>
          <t>1.7.0</t>
        </is>
      </c>
      <c r="D14" s="3" t="inlineStr">
        <is>
          <t>Persistencia IA</t>
        </is>
      </c>
      <c r="E14" s="3" t="inlineStr">
        <is>
          <t>ireHistorial extend + modelo_estado table.</t>
        </is>
      </c>
      <c r="F14" s="3" t="inlineStr">
        <is>
          <t>Cursor Agent / revisión técnica automatizada</t>
        </is>
      </c>
      <c r="G14" s="3" t="inlineStr">
        <is>
          <t>Serpa Sedano Yeferson Wilson</t>
        </is>
      </c>
    </row>
    <row r="15" ht="42" customHeight="1">
      <c r="A15" s="4" t="inlineStr">
        <is>
          <t>2026-05-14</t>
        </is>
      </c>
      <c r="B15" s="4" t="inlineStr">
        <is>
          <t>BOLT-WEB-011</t>
        </is>
      </c>
      <c r="C15" s="4" t="inlineStr">
        <is>
          <t>1.1.0</t>
        </is>
      </c>
      <c r="D15" s="4" t="inlineStr">
        <is>
          <t>Stock RPC</t>
        </is>
      </c>
      <c r="E15" s="4" t="inlineStr">
        <is>
          <t>movimientos_stock + registrar ingreso.</t>
        </is>
      </c>
      <c r="F15" s="4" t="inlineStr">
        <is>
          <t>Cursor Agent / revisión técnica automatizada</t>
        </is>
      </c>
      <c r="G15" s="4" t="inlineStr">
        <is>
          <t>Serpa Sedano Yeferson Wilson</t>
        </is>
      </c>
    </row>
    <row r="16" ht="42" customHeight="1">
      <c r="A16" s="3" t="inlineStr">
        <is>
          <t>2026-05-01</t>
        </is>
      </c>
      <c r="B16" s="3" t="inlineStr">
        <is>
          <t>BOLT-WEB-003</t>
        </is>
      </c>
      <c r="C16" s="3" t="inlineStr">
        <is>
          <t>1.0.0</t>
        </is>
      </c>
      <c r="D16" s="3" t="inlineStr">
        <is>
          <t>Bootstrap catálogo</t>
        </is>
      </c>
      <c r="E16" s="3" t="inlineStr">
        <is>
          <t>Catálogo público React + Supabase.</t>
        </is>
      </c>
      <c r="F16" s="3" t="inlineStr">
        <is>
          <t>Cursor Agent / revisión técnica automatizada</t>
        </is>
      </c>
      <c r="G16" s="3" t="inlineStr">
        <is>
          <t>Serpa Sedano Yeferson Wilson</t>
        </is>
      </c>
    </row>
    <row r="17" ht="42" customHeight="1">
      <c r="A17" s="4" t="inlineStr">
        <is>
          <t>2026-05-28</t>
        </is>
      </c>
      <c r="B17" s="4" t="inlineStr">
        <is>
          <t>PLANTILLA</t>
        </is>
      </c>
      <c r="C17" s="4" t="inlineStr">
        <is>
          <t>1.0</t>
        </is>
      </c>
      <c r="D17" s="4" t="inlineStr">
        <is>
          <t>Gobierno IA V3</t>
        </is>
      </c>
      <c r="E17" s="4" t="inlineStr">
        <is>
          <t>Generación inicial plantilla desde bolts.</t>
        </is>
      </c>
      <c r="F17" s="4" t="inlineStr">
        <is>
          <t>Cursor Agent / revisión técnica automatizada</t>
        </is>
      </c>
      <c r="G17" s="4" t="inlineStr">
        <is>
          <t>Serpa Sedano Yeferson Wilson</t>
        </is>
      </c>
    </row>
    <row r="18" ht="42" customHeight="1">
      <c r="A18" s="3" t="inlineStr">
        <is>
          <t>2026-06-19</t>
        </is>
      </c>
      <c r="B18" s="3" t="inlineStr">
        <is>
          <t>PLANTILLA</t>
        </is>
      </c>
      <c r="C18" s="3" t="inlineStr">
        <is>
          <t>1.1</t>
        </is>
      </c>
      <c r="D18" s="3" t="inlineStr">
        <is>
          <t>Ampliación Q1</t>
        </is>
      </c>
      <c r="E18" s="3" t="inlineStr">
        <is>
          <t>RESPALDO_Q1, CONTROLES_ISO42001, RIESGOS_IA, MODEL_CARD.</t>
        </is>
      </c>
      <c r="F18" s="3" t="inlineStr">
        <is>
          <t>Cursor Agent / revisión técnica automatizada</t>
        </is>
      </c>
      <c r="G18" s="3" t="inlineStr">
        <is>
          <t>Serpa Sedano Yeferson Wilson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32" customWidth="1" min="4" max="4"/>
    <col width="42" customWidth="1" min="5" max="5"/>
    <col width="8" customWidth="1" min="6" max="6"/>
    <col width="48" customWidth="1" min="7" max="7"/>
  </cols>
  <sheetData>
    <row r="1" ht="36" customHeight="1">
      <c r="A1" s="2" t="inlineStr">
        <is>
          <t>ID_ARTEFACTO</t>
        </is>
      </c>
      <c r="B1" s="2" t="inlineStr">
        <is>
          <t>TIPO_ARTEFACTO</t>
        </is>
      </c>
      <c r="C1" s="2" t="inlineStr">
        <is>
          <t>ID_BOLT</t>
        </is>
      </c>
      <c r="D1" s="2" t="inlineStr">
        <is>
          <t>NOMBRE</t>
        </is>
      </c>
      <c r="E1" s="2" t="inlineStr">
        <is>
          <t>RUTA_URL</t>
        </is>
      </c>
      <c r="F1" s="2" t="inlineStr">
        <is>
          <t>VERSION</t>
        </is>
      </c>
      <c r="G1" s="2" t="inlineStr">
        <is>
          <t>OBSERVACION</t>
        </is>
      </c>
    </row>
    <row r="2" ht="42" customHeight="1">
      <c r="A2" s="3" t="inlineStr">
        <is>
          <t>ART-001</t>
        </is>
      </c>
      <c r="B2" s="3" t="inlineStr">
        <is>
          <t>Documento</t>
        </is>
      </c>
      <c r="C2" s="3" t="inlineStr">
        <is>
          <t>BOLT-WEB-001</t>
        </is>
      </c>
      <c r="D2" s="3" t="inlineStr">
        <is>
          <t>SRS Calzatura Vilchez</t>
        </is>
      </c>
      <c r="E2" s="3" t="inlineStr">
        <is>
          <t>calzatura-vilchez/docs/01-srs/SRS-Calzatura-Vilchez.md</t>
        </is>
      </c>
      <c r="F2" s="3" t="inlineStr">
        <is>
          <t>1.0</t>
        </is>
      </c>
      <c r="G2" s="3" t="inlineStr">
        <is>
          <t>Requisitos funcionales y no funcionales.</t>
        </is>
      </c>
    </row>
    <row r="3" ht="42" customHeight="1">
      <c r="A3" s="4" t="inlineStr">
        <is>
          <t>ART-002</t>
        </is>
      </c>
      <c r="B3" s="4" t="inlineStr">
        <is>
          <t>Documento</t>
        </is>
      </c>
      <c r="C3" s="4" t="inlineStr">
        <is>
          <t>BOLT-WEB-024</t>
        </is>
      </c>
      <c r="D3" s="4" t="inlineStr">
        <is>
          <t>Módulo IA y IRE</t>
        </is>
      </c>
      <c r="E3" s="4" t="inlineStr">
        <is>
          <t>documentacion/07-modulo-ia-riesgo-empresarial.md</t>
        </is>
      </c>
      <c r="F3" s="4" t="inlineStr">
        <is>
          <t>1.2</t>
        </is>
      </c>
      <c r="G3" s="4" t="inlineStr">
        <is>
          <t>Definición operativa IRE v1.2.</t>
        </is>
      </c>
    </row>
    <row r="4" ht="42" customHeight="1">
      <c r="A4" s="3" t="inlineStr">
        <is>
          <t>ART-003</t>
        </is>
      </c>
      <c r="B4" s="3" t="inlineStr">
        <is>
          <t>Código</t>
        </is>
      </c>
      <c r="C4" s="3" t="inlineStr">
        <is>
          <t>BOLT-IA-001</t>
        </is>
      </c>
      <c r="D4" s="3" t="inlineStr">
        <is>
          <t>API FastAPI IA</t>
        </is>
      </c>
      <c r="E4" s="3" t="inlineStr">
        <is>
          <t>ai-service/main.py</t>
        </is>
      </c>
      <c r="F4" s="3" t="inlineStr">
        <is>
          <t>1.0</t>
        </is>
      </c>
      <c r="G4" s="3" t="inlineStr">
        <is>
          <t>Endpoints predict/combined.</t>
        </is>
      </c>
    </row>
    <row r="5" ht="42" customHeight="1">
      <c r="A5" s="4" t="inlineStr">
        <is>
          <t>ART-004</t>
        </is>
      </c>
      <c r="B5" s="4" t="inlineStr">
        <is>
          <t>Código</t>
        </is>
      </c>
      <c r="C5" s="4" t="inlineStr">
        <is>
          <t>BOLT-IA-002</t>
        </is>
      </c>
      <c r="D5" s="4" t="inlineStr">
        <is>
          <t>Motor IRE</t>
        </is>
      </c>
      <c r="E5" s="4" t="inlineStr">
        <is>
          <t>ai-service/models/risk.py</t>
        </is>
      </c>
      <c r="F5" s="4" t="inlineStr">
        <is>
          <t>1.0</t>
        </is>
      </c>
      <c r="G5" s="4" t="inlineStr">
        <is>
          <t>compute_ire y niveles.</t>
        </is>
      </c>
    </row>
    <row r="6" ht="42" customHeight="1">
      <c r="A6" s="3" t="inlineStr">
        <is>
          <t>ART-005</t>
        </is>
      </c>
      <c r="B6" s="3" t="inlineStr">
        <is>
          <t>Código</t>
        </is>
      </c>
      <c r="C6" s="3" t="inlineStr">
        <is>
          <t>BOLT-IA-003</t>
        </is>
      </c>
      <c r="D6" s="3" t="inlineStr">
        <is>
          <t>Modelo demanda RF</t>
        </is>
      </c>
      <c r="E6" s="3" t="inlineStr">
        <is>
          <t>ai-service/models/demand.py</t>
        </is>
      </c>
      <c r="F6" s="3" t="inlineStr">
        <is>
          <t>1.0</t>
        </is>
      </c>
      <c r="G6" s="3" t="inlineStr">
        <is>
          <t>RandomForestRegressor.</t>
        </is>
      </c>
    </row>
    <row r="7" ht="42" customHeight="1">
      <c r="A7" s="4" t="inlineStr">
        <is>
          <t>ART-006</t>
        </is>
      </c>
      <c r="B7" s="4" t="inlineStr">
        <is>
          <t>Código</t>
        </is>
      </c>
      <c r="C7" s="4" t="inlineStr">
        <is>
          <t>BOLT-WEB-024</t>
        </is>
      </c>
      <c r="D7" s="4" t="inlineStr">
        <is>
          <t>Panel predicciones</t>
        </is>
      </c>
      <c r="E7" s="4" t="inlineStr">
        <is>
          <t>calzatura-vilchez/src/domains/administradores/pages/AdminPredictions.tsx</t>
        </is>
      </c>
      <c r="F7" s="4" t="inlineStr">
        <is>
          <t>1.0</t>
        </is>
      </c>
      <c r="G7" s="4" t="inlineStr">
        <is>
          <t>UI IRE y métricas.</t>
        </is>
      </c>
    </row>
    <row r="8" ht="42" customHeight="1">
      <c r="A8" s="3" t="inlineStr">
        <is>
          <t>ART-007</t>
        </is>
      </c>
      <c r="B8" s="3" t="inlineStr">
        <is>
          <t>Código</t>
        </is>
      </c>
      <c r="C8" s="3" t="inlineStr">
        <is>
          <t>BOLT-WEB-003</t>
        </is>
      </c>
      <c r="D8" s="3" t="inlineStr">
        <is>
          <t>Catálogo web</t>
        </is>
      </c>
      <c r="E8" s="3" t="inlineStr">
        <is>
          <t>calzatura-vilchez/src/domains/productos/pages/ProductsPage.tsx</t>
        </is>
      </c>
      <c r="F8" s="3" t="inlineStr">
        <is>
          <t>1.0</t>
        </is>
      </c>
      <c r="G8" s="3" t="inlineStr">
        <is>
          <t>Catálogo público.</t>
        </is>
      </c>
    </row>
    <row r="9" ht="42" customHeight="1">
      <c r="A9" s="4" t="inlineStr">
        <is>
          <t>ART-008</t>
        </is>
      </c>
      <c r="B9" s="4" t="inlineStr">
        <is>
          <t>Código</t>
        </is>
      </c>
      <c r="C9" s="4" t="inlineStr">
        <is>
          <t>BOLT-WEB-014</t>
        </is>
      </c>
      <c r="D9" s="4" t="inlineStr">
        <is>
          <t>Ventas físicas</t>
        </is>
      </c>
      <c r="E9" s="4" t="inlineStr">
        <is>
          <t>calzatura-vilchez/src/domains/ventas/</t>
        </is>
      </c>
      <c r="F9" s="4" t="inlineStr">
        <is>
          <t>1.0</t>
        </is>
      </c>
      <c r="G9" s="4" t="inlineStr">
        <is>
          <t>Registro ventas y devoluciones.</t>
        </is>
      </c>
    </row>
    <row r="10" ht="42" customHeight="1">
      <c r="A10" s="3" t="inlineStr">
        <is>
          <t>ART-009</t>
        </is>
      </c>
      <c r="B10" s="3" t="inlineStr">
        <is>
          <t>Código</t>
        </is>
      </c>
      <c r="C10" s="3" t="inlineStr">
        <is>
          <t>BOLT-WEB-022</t>
        </is>
      </c>
      <c r="D10" s="3" t="inlineStr">
        <is>
          <t>BFF servidor</t>
        </is>
      </c>
      <c r="E10" s="3" t="inlineStr">
        <is>
          <t>calzatura-vilchez/bff/server.cjs</t>
        </is>
      </c>
      <c r="F10" s="3" t="inlineStr">
        <is>
          <t>1.0</t>
        </is>
      </c>
      <c r="G10" s="3" t="inlineStr">
        <is>
          <t>API segura y rate limit.</t>
        </is>
      </c>
    </row>
    <row r="11" ht="42" customHeight="1">
      <c r="A11" s="4" t="inlineStr">
        <is>
          <t>ART-010</t>
        </is>
      </c>
      <c r="B11" s="4" t="inlineStr">
        <is>
          <t>Evidencia</t>
        </is>
      </c>
      <c r="C11" s="4" t="inlineStr">
        <is>
          <t>BOLT-WEB-021</t>
        </is>
      </c>
      <c r="D11" s="4" t="inlineStr">
        <is>
          <t>Reporte ZAP</t>
        </is>
      </c>
      <c r="E11" s="4" t="inlineStr">
        <is>
          <t>zap-reports/zap-production-report-v2.json</t>
        </is>
      </c>
      <c r="F11" s="4" t="inlineStr">
        <is>
          <t>2.0</t>
        </is>
      </c>
      <c r="G11" s="4" t="inlineStr">
        <is>
          <t>DAST sin alertas altas.</t>
        </is>
      </c>
    </row>
    <row r="12" ht="42" customHeight="1">
      <c r="A12" s="3" t="inlineStr">
        <is>
          <t>ART-011</t>
        </is>
      </c>
      <c r="B12" s="3" t="inlineStr">
        <is>
          <t>Evidencia</t>
        </is>
      </c>
      <c r="C12" s="3" t="inlineStr">
        <is>
          <t>BOLT-WEB-026</t>
        </is>
      </c>
      <c r="D12" s="3" t="inlineStr">
        <is>
          <t>Stress test 2000</t>
        </is>
      </c>
      <c r="E12" s="3" t="inlineStr">
        <is>
          <t>artifacts/load-tests/autocannon-home-c2000-20260528-231905.json</t>
        </is>
      </c>
      <c r="F12" s="3" t="inlineStr">
        <is>
          <t>1.0</t>
        </is>
      </c>
      <c r="G12" s="3" t="inlineStr">
        <is>
          <t>Carga concurrente home.</t>
        </is>
      </c>
    </row>
    <row r="13" ht="42" customHeight="1">
      <c r="A13" s="4" t="inlineStr">
        <is>
          <t>ART-012</t>
        </is>
      </c>
      <c r="B13" s="4" t="inlineStr">
        <is>
          <t>Evidencia</t>
        </is>
      </c>
      <c r="C13" s="4" t="inlineStr">
        <is>
          <t>BOLT-WEB-053</t>
        </is>
      </c>
      <c r="D13" s="4" t="inlineStr">
        <is>
          <t>Backtest gate IA</t>
        </is>
      </c>
      <c r="E13" s="4" t="inlineStr">
        <is>
          <t>scripts/ai-backtest-gate.mjs</t>
        </is>
      </c>
      <c r="F13" s="4" t="inlineStr">
        <is>
          <t>1.0</t>
        </is>
      </c>
      <c r="G13" s="4" t="inlineStr">
        <is>
          <t>Control gobierno IA.</t>
        </is>
      </c>
    </row>
    <row r="14" ht="42" customHeight="1">
      <c r="A14" s="3" t="inlineStr">
        <is>
          <t>ART-013</t>
        </is>
      </c>
      <c r="B14" s="3" t="inlineStr">
        <is>
          <t>Matriz</t>
        </is>
      </c>
      <c r="C14" s="3" t="inlineStr">
        <is>
          <t>BOLT-WEB-001</t>
        </is>
      </c>
      <c r="D14" s="3" t="inlineStr">
        <is>
          <t>Estado del arte 43 tablas</t>
        </is>
      </c>
      <c r="E14" s="3" t="inlineStr">
        <is>
          <t>Estado_del_Arte_43_Tablas_CORREGIDO.docx</t>
        </is>
      </c>
      <c r="F14" s="3" t="inlineStr">
        <is>
          <t>1.0</t>
        </is>
      </c>
      <c r="G14" s="3" t="inlineStr">
        <is>
          <t>43 artículos con evidencia funcional.</t>
        </is>
      </c>
    </row>
    <row r="15" ht="42" customHeight="1">
      <c r="A15" s="4" t="inlineStr">
        <is>
          <t>ART-014</t>
        </is>
      </c>
      <c r="B15" s="4" t="inlineStr">
        <is>
          <t>Matriz</t>
        </is>
      </c>
      <c r="C15" s="4" t="inlineStr">
        <is>
          <t>BOLT-WEB-001</t>
        </is>
      </c>
      <c r="D15" s="4" t="inlineStr">
        <is>
          <t>Registro BOLT empresarial</t>
        </is>
      </c>
      <c r="E15" s="4" t="inlineStr">
        <is>
          <t>artifacts/matrices/Matriz_Registro_Web_Empresarial_AI_DLC_BOLT.xlsx</t>
        </is>
      </c>
      <c r="F15" s="4" t="inlineStr">
        <is>
          <t>1.0</t>
        </is>
      </c>
      <c r="G15" s="4" t="inlineStr">
        <is>
          <t>55 bolts web verificados.</t>
        </is>
      </c>
    </row>
    <row r="16" ht="42" customHeight="1">
      <c r="A16" s="3" t="inlineStr">
        <is>
          <t>ART-015</t>
        </is>
      </c>
      <c r="B16" s="3" t="inlineStr">
        <is>
          <t>Matriz</t>
        </is>
      </c>
      <c r="C16" s="3" t="inlineStr">
        <is>
          <t>BOLT-WEB-053</t>
        </is>
      </c>
      <c r="D16" s="3" t="inlineStr">
        <is>
          <t>Plantilla Gobierno IA V3</t>
        </is>
      </c>
      <c r="E16" s="3" t="inlineStr">
        <is>
          <t>artifacts/matrices/Plantilla_Gobierno_IA_V3_CALZATURA_VILCHEZ.xlsx</t>
        </is>
      </c>
      <c r="F16" s="3" t="inlineStr">
        <is>
          <t>1.2</t>
        </is>
      </c>
      <c r="G16" s="3" t="inlineStr">
        <is>
          <t>ISO 42001 + Q1 + model card.</t>
        </is>
      </c>
    </row>
    <row r="17" ht="42" customHeight="1">
      <c r="A17" s="4" t="inlineStr">
        <is>
          <t>ART-016</t>
        </is>
      </c>
      <c r="B17" s="4" t="inlineStr">
        <is>
          <t>Documento</t>
        </is>
      </c>
      <c r="C17" s="4" t="inlineStr">
        <is>
          <t>BOLT-WEB-053</t>
        </is>
      </c>
      <c r="D17" s="4" t="inlineStr">
        <is>
          <t>Guía gobierno IA</t>
        </is>
      </c>
      <c r="E17" s="4" t="inlineStr">
        <is>
          <t>documentacion/gobierno-ia-v3-calzatura-vilchez.md</t>
        </is>
      </c>
      <c r="F17" s="4" t="inlineStr">
        <is>
          <t>1.2</t>
        </is>
      </c>
      <c r="G17" s="4" t="inlineStr">
        <is>
          <t>Revisión y trazabilidad Q1.</t>
        </is>
      </c>
    </row>
    <row r="18" ht="42" customHeight="1">
      <c r="A18" s="3" t="inlineStr">
        <is>
          <t>ART-015</t>
        </is>
      </c>
      <c r="B18" s="3" t="inlineStr">
        <is>
          <t>Código</t>
        </is>
      </c>
      <c r="C18" s="3" t="inlineStr">
        <is>
          <t>BOLT-WEB-001</t>
        </is>
      </c>
      <c r="D18" s="3" t="inlineStr">
        <is>
          <t>Sistema web / arquitectura general</t>
        </is>
      </c>
      <c r="E18" s="3" t="inlineStr">
        <is>
          <t>calzatura-vilchez/README.md:1</t>
        </is>
      </c>
      <c r="F18" s="3" t="inlineStr">
        <is>
          <t>1.0</t>
        </is>
      </c>
      <c r="G18" s="3" t="inlineStr">
        <is>
          <t>Definir el sistema web de comercio electrónico y gestión administrativa de Calza</t>
        </is>
      </c>
    </row>
    <row r="19" ht="42" customHeight="1">
      <c r="A19" s="4" t="inlineStr">
        <is>
          <t>ART-016</t>
        </is>
      </c>
      <c r="B19" s="4" t="inlineStr">
        <is>
          <t>Código</t>
        </is>
      </c>
      <c r="C19" s="4" t="inlineStr">
        <is>
          <t>BOLT-WEB-002</t>
        </is>
      </c>
      <c r="D19" s="4" t="inlineStr">
        <is>
          <t>Público / Home</t>
        </is>
      </c>
      <c r="E19" s="4" t="inlineStr">
        <is>
          <t>calzatura-vilchez/src/domains/publico/components/HomeHeroSection.tsx:40</t>
        </is>
      </c>
      <c r="F19" s="4" t="inlineStr">
        <is>
          <t>1.0</t>
        </is>
      </c>
      <c r="G19" s="4" t="inlineStr">
        <is>
          <t>Implementar una página de inicio comercial con hero, promociones, imágenes, prod</t>
        </is>
      </c>
    </row>
    <row r="20" ht="42" customHeight="1">
      <c r="A20" s="3" t="inlineStr">
        <is>
          <t>ART-017</t>
        </is>
      </c>
      <c r="B20" s="3" t="inlineStr">
        <is>
          <t>Código</t>
        </is>
      </c>
      <c r="C20" s="3" t="inlineStr">
        <is>
          <t>BOLT-WEB-003</t>
        </is>
      </c>
      <c r="D20" s="3" t="inlineStr">
        <is>
          <t>Catálogo / Productos</t>
        </is>
      </c>
      <c r="E20" s="3" t="inlineStr">
        <is>
          <t>calzatura-vilchez/src/domains/productos/pages/ProductsPage.tsx:1</t>
        </is>
      </c>
      <c r="F20" s="3" t="inlineStr">
        <is>
          <t>1.0</t>
        </is>
      </c>
      <c r="G20" s="3" t="inlineStr">
        <is>
          <t>Permitir que el cliente explore productos activos, filtre por criterios comercia</t>
        </is>
      </c>
    </row>
    <row r="21" ht="42" customHeight="1">
      <c r="A21" s="4" t="inlineStr">
        <is>
          <t>ART-018</t>
        </is>
      </c>
      <c r="B21" s="4" t="inlineStr">
        <is>
          <t>Código</t>
        </is>
      </c>
      <c r="C21" s="4" t="inlineStr">
        <is>
          <t>BOLT-WEB-004</t>
        </is>
      </c>
      <c r="D21" s="4" t="inlineStr">
        <is>
          <t>Catálogo / ProductCard</t>
        </is>
      </c>
      <c r="E21" s="4" t="inlineStr">
        <is>
          <t>calzatura-vilchez/src/domains/productos/components/ProductCard.tsx:23</t>
        </is>
      </c>
      <c r="F21" s="4" t="inlineStr">
        <is>
          <t>1.0</t>
        </is>
      </c>
      <c r="G21" s="4" t="inlineStr">
        <is>
          <t>Corregir la tarjeta de producto para que no tenga controles interactivos anidado</t>
        </is>
      </c>
    </row>
    <row r="22" ht="42" customHeight="1">
      <c r="A22" s="3" t="inlineStr">
        <is>
          <t>ART-019</t>
        </is>
      </c>
      <c r="B22" s="3" t="inlineStr">
        <is>
          <t>Código</t>
        </is>
      </c>
      <c r="C22" s="3" t="inlineStr">
        <is>
          <t>BOLT-WEB-005</t>
        </is>
      </c>
      <c r="D22" s="3" t="inlineStr">
        <is>
          <t>Carrito</t>
        </is>
      </c>
      <c r="E22" s="3" t="inlineStr">
        <is>
          <t>calzatura-vilchez/src/domains/carrito/context/CartContext.tsx:37</t>
        </is>
      </c>
      <c r="F22" s="3" t="inlineStr">
        <is>
          <t>1.0</t>
        </is>
      </c>
      <c r="G22" s="3" t="inlineStr">
        <is>
          <t>Gestionar carrito de compra por sesión, evitando persistencia innecesaria de pre</t>
        </is>
      </c>
    </row>
    <row r="23" ht="42" customHeight="1">
      <c r="A23" s="4" t="inlineStr">
        <is>
          <t>ART-020</t>
        </is>
      </c>
      <c r="B23" s="4" t="inlineStr">
        <is>
          <t>Código</t>
        </is>
      </c>
      <c r="C23" s="4" t="inlineStr">
        <is>
          <t>BOLT-WEB-006</t>
        </is>
      </c>
      <c r="D23" s="4" t="inlineStr">
        <is>
          <t>Checkout</t>
        </is>
      </c>
      <c r="E23" s="4" t="inlineStr">
        <is>
          <t>calzatura-vilchez/src/domains/carrito/pages/CheckoutPage.tsx:40</t>
        </is>
      </c>
      <c r="F23" s="4" t="inlineStr">
        <is>
          <t>1.0</t>
        </is>
      </c>
      <c r="G23" s="4" t="inlineStr">
        <is>
          <t>Confirmar pedidos mediante checkout con validación de entrega, stock, precio, mé</t>
        </is>
      </c>
    </row>
    <row r="24" ht="42" customHeight="1">
      <c r="A24" s="3" t="inlineStr">
        <is>
          <t>ART-021</t>
        </is>
      </c>
      <c r="B24" s="3" t="inlineStr">
        <is>
          <t>Código</t>
        </is>
      </c>
      <c r="C24" s="3" t="inlineStr">
        <is>
          <t>BOLT-WEB-007</t>
        </is>
      </c>
      <c r="D24" s="3" t="inlineStr">
        <is>
          <t>Pedidos cliente</t>
        </is>
      </c>
      <c r="E24" s="3" t="inlineStr">
        <is>
          <t>calzatura-vilchez/src/domains/pedidos/pages/OrderSuccessPage.tsx:21</t>
        </is>
      </c>
      <c r="F24" s="3" t="inlineStr">
        <is>
          <t>1.0</t>
        </is>
      </c>
      <c r="G24" s="3" t="inlineStr">
        <is>
          <t>Mostrar confirmación real de pedido y evitar que una página de éxito confirme un</t>
        </is>
      </c>
    </row>
    <row r="25" ht="42" customHeight="1">
      <c r="A25" s="4" t="inlineStr">
        <is>
          <t>ART-022</t>
        </is>
      </c>
      <c r="B25" s="4" t="inlineStr">
        <is>
          <t>Código</t>
        </is>
      </c>
      <c r="C25" s="4" t="inlineStr">
        <is>
          <t>BOLT-WEB-008</t>
        </is>
      </c>
      <c r="D25" s="4" t="inlineStr">
        <is>
          <t>Usuarios / DNI / PII</t>
        </is>
      </c>
      <c r="E25" s="4" t="inlineStr">
        <is>
          <t>calzatura-vilchez/src/domains/usuarios/services/dni.ts:1</t>
        </is>
      </c>
      <c r="F25" s="4" t="inlineStr">
        <is>
          <t>1.0</t>
        </is>
      </c>
      <c r="G25" s="4" t="inlineStr">
        <is>
          <t>Proteger registro, login y consulta DNI con Firebase, App Check, proof secret, 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2" customWidth="1" min="5" max="5"/>
    <col width="48" customWidth="1" min="6" max="6"/>
  </cols>
  <sheetData>
    <row r="1" ht="36" customHeight="1">
      <c r="A1" s="2" t="inlineStr">
        <is>
          <t>ID_PMV</t>
        </is>
      </c>
      <c r="B1" s="2" t="inlineStr">
        <is>
          <t>NOMBRE_PMV</t>
        </is>
      </c>
      <c r="C1" s="2" t="inlineStr">
        <is>
          <t>ID_BOLT</t>
        </is>
      </c>
      <c r="D1" s="2" t="inlineStr">
        <is>
          <t>MODULO</t>
        </is>
      </c>
      <c r="E1" s="2" t="inlineStr">
        <is>
          <t>ESTADO</t>
        </is>
      </c>
      <c r="F1" s="2" t="inlineStr">
        <is>
          <t>OBSERVACION</t>
        </is>
      </c>
    </row>
    <row r="2" ht="42" customHeight="1">
      <c r="A2" s="3" t="inlineStr">
        <is>
          <t>PMV-01</t>
        </is>
      </c>
      <c r="B2" s="3" t="inlineStr">
        <is>
          <t>Catálogo público navegable</t>
        </is>
      </c>
      <c r="C2" s="3" t="inlineStr">
        <is>
          <t>BOLT-WEB-003</t>
        </is>
      </c>
      <c r="D2" s="3" t="inlineStr">
        <is>
          <t>Productos</t>
        </is>
      </c>
      <c r="E2" s="3" t="inlineStr">
        <is>
          <t>PRODUCCION</t>
        </is>
      </c>
      <c r="F2" s="3" t="inlineStr">
        <is>
          <t>Web 1.7.0 — catálogo, filtros, detalle, campaña en producto.</t>
        </is>
      </c>
    </row>
    <row r="3" ht="42" customHeight="1">
      <c r="A3" s="4" t="inlineStr">
        <is>
          <t>PMV-02</t>
        </is>
      </c>
      <c r="B3" s="4" t="inlineStr">
        <is>
          <t>Compra web end-to-end</t>
        </is>
      </c>
      <c r="C3" s="4" t="inlineStr">
        <is>
          <t>BOLT-WEB-006</t>
        </is>
      </c>
      <c r="D3" s="4" t="inlineStr">
        <is>
          <t>Carrito/Pedidos</t>
        </is>
      </c>
      <c r="E3" s="4" t="inlineStr">
        <is>
          <t>PRODUCCION</t>
        </is>
      </c>
      <c r="F3" s="4" t="inlineStr">
        <is>
          <t>Web 1.8.0 — carrito → checkout → Stripe/COD → entrega geocodificada.</t>
        </is>
      </c>
    </row>
    <row r="4" ht="42" customHeight="1">
      <c r="A4" s="3" t="inlineStr">
        <is>
          <t>PMV-03</t>
        </is>
      </c>
      <c r="B4" s="3" t="inlineStr">
        <is>
          <t>Ventas físicas y devoluciones</t>
        </is>
      </c>
      <c r="C4" s="3" t="inlineStr">
        <is>
          <t>BOLT-WEB-014</t>
        </is>
      </c>
      <c r="D4" s="3" t="inlineStr">
        <is>
          <t>Ventas</t>
        </is>
      </c>
      <c r="E4" s="3" t="inlineStr">
        <is>
          <t>PRODUCCION</t>
        </is>
      </c>
      <c r="F4" s="3" t="inlineStr">
        <is>
          <t>Web 1.3.0 — ventas diarias, devoluciones, panel staff.</t>
        </is>
      </c>
    </row>
    <row r="5" ht="42" customHeight="1">
      <c r="A5" s="4" t="inlineStr">
        <is>
          <t>PMV-04</t>
        </is>
      </c>
      <c r="B5" s="4" t="inlineStr">
        <is>
          <t>Panel administrativo comercial</t>
        </is>
      </c>
      <c r="C5" s="4" t="inlineStr">
        <is>
          <t>BOLT-WEB-010</t>
        </is>
      </c>
      <c r="D5" s="4" t="inlineStr">
        <is>
          <t>Admin</t>
        </is>
      </c>
      <c r="E5" s="4" t="inlineStr">
        <is>
          <t>PRODUCCION</t>
        </is>
      </c>
      <c r="F5" s="4" t="inlineStr">
        <is>
          <t>Web 1.8.0 — productos, stock, finanzas, Excel, dashboard.</t>
        </is>
      </c>
    </row>
    <row r="6" ht="42" customHeight="1">
      <c r="A6" s="3" t="inlineStr">
        <is>
          <t>PMV-05</t>
        </is>
      </c>
      <c r="B6" s="3" t="inlineStr">
        <is>
          <t>IA comercial y gobierno del IRE</t>
        </is>
      </c>
      <c r="C6" s="3" t="inlineStr">
        <is>
          <t>BOLT-WEB-024</t>
        </is>
      </c>
      <c r="D6" s="3" t="inlineStr">
        <is>
          <t>IA</t>
        </is>
      </c>
      <c r="E6" s="3" t="inlineStr">
        <is>
          <t>PRODUCCION</t>
        </is>
      </c>
      <c r="F6" s="3" t="inlineStr">
        <is>
          <t>Web 1.7.0 + gobierno 1.2 — IRE, RF, campañas, backtest.</t>
        </is>
      </c>
    </row>
    <row r="7" ht="42" customHeight="1">
      <c r="A7" s="4" t="inlineStr">
        <is>
          <t>PMV-06</t>
        </is>
      </c>
      <c r="B7" s="4" t="inlineStr">
        <is>
          <t>Seguridad, calidad y DevOps</t>
        </is>
      </c>
      <c r="C7" s="4" t="inlineStr">
        <is>
          <t>BOLT-WEB-025</t>
        </is>
      </c>
      <c r="D7" s="4" t="inlineStr">
        <is>
          <t>Operaciones</t>
        </is>
      </c>
      <c r="E7" s="4" t="inlineStr">
        <is>
          <t>PRODUCCION</t>
        </is>
      </c>
      <c r="F7" s="4" t="inlineStr">
        <is>
          <t>Web 1.9.0 — CI/CD, RLS, ZAP, k6, gates ISO 25000, Sonar.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</cols>
  <sheetData>
    <row r="1" ht="22" customHeight="1">
      <c r="A1" s="5" t="inlineStr">
        <is>
          <t>Dashboard Gobierno IA V3 — Web 1.9.0 / Plantilla 1.2</t>
        </is>
      </c>
      <c r="B1" s="5" t="inlineStr">
        <is>
          <t>VALOR</t>
        </is>
      </c>
      <c r="C1" s="5" t="inlineStr">
        <is>
          <t>OBSERVACION</t>
        </is>
      </c>
    </row>
    <row r="2" ht="22" customHeight="1">
      <c r="A2" s="6" t="inlineStr">
        <is>
          <t>Total Bolts</t>
        </is>
      </c>
      <c r="B2" s="6">
        <f>COUNTA(CONTROL_VERSIONES!B:B)-1</f>
        <v/>
      </c>
      <c r="C2" s="6" t="inlineStr">
        <is>
          <t>Automático</t>
        </is>
      </c>
    </row>
    <row r="3" ht="22" customHeight="1">
      <c r="A3" s="6" t="inlineStr">
        <is>
          <t>Bolts Activos</t>
        </is>
      </c>
      <c r="B3" s="6">
        <f>COUNTIF(CONTROL_VERSIONES!F:F,"PRODUCCION")+COUNTIF(CONTROL_VERSIONES!F:F,"ACTIVO")</f>
        <v/>
      </c>
      <c r="C3" s="6" t="inlineStr">
        <is>
          <t>Automático</t>
        </is>
      </c>
    </row>
    <row r="4" ht="22" customHeight="1">
      <c r="A4" s="6" t="inlineStr">
        <is>
          <t>Bolts Producción</t>
        </is>
      </c>
      <c r="B4" s="6">
        <f>COUNTIF(CONTROL_VERSIONES!F:F,"PRODUCCION")</f>
        <v/>
      </c>
      <c r="C4" s="6" t="inlineStr">
        <is>
          <t>Automático</t>
        </is>
      </c>
    </row>
    <row r="5" ht="22" customHeight="1">
      <c r="A5" s="6" t="inlineStr">
        <is>
          <t>Procesos Estratégicos</t>
        </is>
      </c>
      <c r="B5" s="6">
        <f>COUNTIF(PROCESOS!B:B,"Estratégico")</f>
        <v/>
      </c>
      <c r="C5" s="6" t="inlineStr">
        <is>
          <t>Automático</t>
        </is>
      </c>
    </row>
    <row r="6" ht="22" customHeight="1">
      <c r="A6" s="6" t="inlineStr">
        <is>
          <t>Procesos Misionales</t>
        </is>
      </c>
      <c r="B6" s="6">
        <f>COUNTIF(PROCESOS!B:B,"Misional")</f>
        <v/>
      </c>
      <c r="C6" s="6" t="inlineStr">
        <is>
          <t>Automático</t>
        </is>
      </c>
    </row>
    <row r="7" ht="22" customHeight="1">
      <c r="A7" s="6" t="inlineStr">
        <is>
          <t>Procesos Apoyo</t>
        </is>
      </c>
      <c r="B7" s="6">
        <f>COUNTIF(PROCESOS!B:B,"Apoyo")</f>
        <v/>
      </c>
      <c r="C7" s="6" t="inlineStr">
        <is>
          <t>Automático</t>
        </is>
      </c>
    </row>
    <row r="8" ht="22" customHeight="1"/>
    <row r="9" ht="22" customHeight="1">
      <c r="A9" s="6" t="inlineStr">
        <is>
          <t>Controles ISO 42001</t>
        </is>
      </c>
      <c r="B9" s="6">
        <f>COUNTA(CONTROLES_ISO42001!A:A)-1</f>
        <v/>
      </c>
    </row>
    <row r="10" ht="22" customHeight="1">
      <c r="A10" s="6" t="inlineStr">
        <is>
          <t>Riesgos IA registrados</t>
        </is>
      </c>
      <c r="B10" s="6">
        <f>COUNTA(RIESGOS_IA!A:A)-1</f>
        <v/>
      </c>
    </row>
    <row r="11" ht="22" customHeight="1">
      <c r="A11" s="6" t="inlineStr">
        <is>
          <t>Artículos Q1 respaldo</t>
        </is>
      </c>
      <c r="B11" s="6">
        <f>COUNTA(RESPALDO_Q1!A:A)-1</f>
        <v/>
      </c>
    </row>
    <row r="12" ht="22" customHeight="1">
      <c r="A12" s="6" t="inlineStr">
        <is>
          <t>Versión contenido plantilla</t>
        </is>
      </c>
      <c r="B12" s="6" t="inlineStr">
        <is>
          <t>1.2</t>
        </is>
      </c>
    </row>
    <row r="13" ht="22" customHeight="1">
      <c r="A13" s="6" t="inlineStr">
        <is>
          <t>Versión sistema web</t>
        </is>
      </c>
      <c r="B13" s="6" t="inlineStr">
        <is>
          <t>1.9.0</t>
        </is>
      </c>
    </row>
    <row r="14">
      <c r="A14" t="inlineStr">
        <is>
          <t>Fecha generación</t>
        </is>
      </c>
      <c r="B14" t="inlineStr">
        <is>
          <t>2026-06-19</t>
        </is>
      </c>
    </row>
    <row r="15">
      <c r="A15" t="inlineStr">
        <is>
          <t>Releases web registrados</t>
        </is>
      </c>
      <c r="B15">
        <f>COUNTA(VERSIONES_WEB!A:A)-1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36" customHeight="1">
      <c r="A1" s="2" t="inlineStr">
        <is>
          <t>Campo</t>
        </is>
      </c>
      <c r="B1" s="2" t="inlineStr">
        <is>
          <t>Valor</t>
        </is>
      </c>
    </row>
    <row r="2" ht="42" customHeight="1">
      <c r="A2" s="3" t="inlineStr">
        <is>
          <t>Plantilla estructura</t>
        </is>
      </c>
      <c r="B2" s="3" t="inlineStr">
        <is>
          <t>V3</t>
        </is>
      </c>
    </row>
    <row r="3" ht="42" customHeight="1">
      <c r="A3" s="4" t="inlineStr">
        <is>
          <t>Contenido Calzatura Vilchez</t>
        </is>
      </c>
      <c r="B3" s="4" t="inlineStr">
        <is>
          <t>1.2</t>
        </is>
      </c>
    </row>
    <row r="4" ht="42" customHeight="1">
      <c r="A4" s="3" t="inlineStr">
        <is>
          <t>Versión sistema web</t>
        </is>
      </c>
      <c r="B4" s="3" t="inlineStr">
        <is>
          <t>1.9.0</t>
        </is>
      </c>
    </row>
    <row r="5" ht="42" customHeight="1">
      <c r="A5" s="4" t="inlineStr">
        <is>
          <t>Fecha generación</t>
        </is>
      </c>
      <c r="B5" s="4" t="inlineStr">
        <is>
          <t>2026-06-19</t>
        </is>
      </c>
    </row>
    <row r="6" ht="42" customHeight="1">
      <c r="A6" s="3" t="inlineStr">
        <is>
          <t>Documento IA referencia</t>
        </is>
      </c>
      <c r="B6" s="3" t="inlineStr">
        <is>
          <t>07-modulo-ia-riesgo-empresarial.md v1.2</t>
        </is>
      </c>
    </row>
    <row r="7" ht="42" customHeight="1">
      <c r="A7" s="4" t="inlineStr">
        <is>
          <t>Norma gobierno IA</t>
        </is>
      </c>
      <c r="B7" s="4" t="inlineStr">
        <is>
          <t>ISO/IEC 42001 (AIMS operacionalizado)</t>
        </is>
      </c>
    </row>
    <row r="8" ht="42" customHeight="1">
      <c r="A8" s="3" t="inlineStr">
        <is>
          <t>Norma calidad datos</t>
        </is>
      </c>
      <c r="B8" s="3" t="inlineStr">
        <is>
          <t>ISO/IEC 25012 (referencia)</t>
        </is>
      </c>
    </row>
    <row r="9" ht="42" customHeight="1">
      <c r="A9" s="4" t="inlineStr">
        <is>
          <t>Migraciones Supabase</t>
        </is>
      </c>
      <c r="B9" s="4" t="inlineStr">
        <is>
          <t>64 archivos en calzatura-vilchez/supabase/migrations/</t>
        </is>
      </c>
    </row>
    <row r="10" ht="42" customHeight="1">
      <c r="A10" s="3" t="inlineStr">
        <is>
          <t>Corpus Q1</t>
        </is>
      </c>
      <c r="B10" s="3" t="inlineStr">
        <is>
          <t>43 artículos + complementos 44-48</t>
        </is>
      </c>
    </row>
    <row r="11" ht="42" customHeight="1">
      <c r="A11" s="4" t="inlineStr">
        <is>
          <t>Regenerar</t>
        </is>
      </c>
      <c r="B11" s="4" t="inlineStr">
        <is>
          <t>python scripts/generar_gobierno_ia_v3.py</t>
        </is>
      </c>
    </row>
    <row r="12" ht="42" customHeight="1">
      <c r="A12" s="3" t="inlineStr">
        <is>
          <t>Responsable</t>
        </is>
      </c>
      <c r="B12" s="3" t="inlineStr">
        <is>
          <t>Serpa Sedano Yeferson Wilson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36" customWidth="1" min="3" max="3"/>
    <col width="28" customWidth="1" min="4" max="4"/>
    <col width="38" customWidth="1" min="5" max="5"/>
    <col width="22" customWidth="1" min="6" max="6"/>
    <col width="42" customWidth="1" min="7" max="7"/>
  </cols>
  <sheetData>
    <row r="1" ht="36" customHeight="1">
      <c r="A1" s="2" t="inlineStr">
        <is>
          <t>Dimension</t>
        </is>
      </c>
      <c r="B1" s="2" t="inlineStr">
        <is>
          <t>Art_num</t>
        </is>
      </c>
      <c r="C1" s="2" t="inlineStr">
        <is>
          <t>Autores</t>
        </is>
      </c>
      <c r="D1" s="2" t="inlineStr">
        <is>
          <t>Revista</t>
        </is>
      </c>
      <c r="E1" s="2" t="inlineStr">
        <is>
          <t>DOI</t>
        </is>
      </c>
      <c r="F1" s="2" t="inlineStr">
        <is>
          <t>Clave_cita</t>
        </is>
      </c>
      <c r="G1" s="2" t="inlineStr">
        <is>
          <t>Uso_gobierno_IA</t>
        </is>
      </c>
    </row>
    <row r="2" ht="42" customHeight="1">
      <c r="A2" s="3" t="inlineStr">
        <is>
          <t>Gobierno / ciclo vida IA</t>
        </is>
      </c>
      <c r="B2" s="3" t="inlineStr">
        <is>
          <t>41</t>
        </is>
      </c>
      <c r="C2" s="3" t="inlineStr">
        <is>
          <t>Haakman et al. (2021)</t>
        </is>
      </c>
      <c r="D2" s="3" t="inlineStr">
        <is>
          <t>Empirical Software Engineering</t>
        </is>
      </c>
      <c r="E2" s="3" t="inlineStr">
        <is>
          <t>10.1007/s10664-021-09993-1</t>
        </is>
      </c>
      <c r="F2" s="3" t="inlineStr">
        <is>
          <t>Haakman 2021</t>
        </is>
      </c>
      <c r="G2" s="3" t="inlineStr">
        <is>
          <t>Marco AI-DLC y controles ISO 42001</t>
        </is>
      </c>
    </row>
    <row r="3" ht="42" customHeight="1">
      <c r="A3" s="4" t="inlineStr">
        <is>
          <t>Despliegue ML producción</t>
        </is>
      </c>
      <c r="B3" s="4" t="inlineStr">
        <is>
          <t>32</t>
        </is>
      </c>
      <c r="C3" s="4" t="inlineStr">
        <is>
          <t>Paleyes et al. (2022)</t>
        </is>
      </c>
      <c r="D3" s="4" t="inlineStr">
        <is>
          <t>ACM Computing Surveys</t>
        </is>
      </c>
      <c r="E3" s="4" t="inlineStr">
        <is>
          <t>10.1145/3533378</t>
        </is>
      </c>
      <c r="F3" s="4" t="inlineStr">
        <is>
          <t>Paleyes 2022</t>
        </is>
      </c>
      <c r="G3" s="4" t="inlineStr">
        <is>
          <t>Retos MLOps y despliegue</t>
        </is>
      </c>
    </row>
    <row r="4" ht="42" customHeight="1">
      <c r="A4" s="3" t="inlineStr">
        <is>
          <t>ML industrial PYME</t>
        </is>
      </c>
      <c r="B4" s="3" t="inlineStr">
        <is>
          <t>29</t>
        </is>
      </c>
      <c r="C4" s="3" t="inlineStr">
        <is>
          <t>Lwakatare et al. (2020)</t>
        </is>
      </c>
      <c r="D4" s="3" t="inlineStr">
        <is>
          <t>Information and Software Technology</t>
        </is>
      </c>
      <c r="E4" s="3" t="inlineStr">
        <is>
          <t>10.1016/j.infsof.2020.106368</t>
        </is>
      </c>
      <c r="F4" s="3" t="inlineStr">
        <is>
          <t>Lwakatare 2020</t>
        </is>
      </c>
      <c r="G4" s="3" t="inlineStr">
        <is>
          <t>Pipeline CI/CD IA</t>
        </is>
      </c>
    </row>
    <row r="5" ht="42" customHeight="1">
      <c r="A5" s="4" t="inlineStr">
        <is>
          <t>Ingeniería software IA</t>
        </is>
      </c>
      <c r="B5" s="4" t="inlineStr">
        <is>
          <t>33</t>
        </is>
      </c>
      <c r="C5" s="4" t="inlineStr">
        <is>
          <t>Martínez-Fernández et al. (2022)</t>
        </is>
      </c>
      <c r="D5" s="4" t="inlineStr">
        <is>
          <t>ACM TOSEM</t>
        </is>
      </c>
      <c r="E5" s="4" t="inlineStr">
        <is>
          <t>10.1145/3487043</t>
        </is>
      </c>
      <c r="F5" s="4" t="inlineStr">
        <is>
          <t>Martínez-Fernández 2022</t>
        </is>
      </c>
      <c r="G5" s="4" t="inlineStr">
        <is>
          <t>Calidad sistemas IA</t>
        </is>
      </c>
    </row>
    <row r="6" ht="42" customHeight="1">
      <c r="A6" s="3" t="inlineStr">
        <is>
          <t>IA decisiones Big Data</t>
        </is>
      </c>
      <c r="B6" s="3" t="inlineStr">
        <is>
          <t>09</t>
        </is>
      </c>
      <c r="C6" s="3" t="inlineStr">
        <is>
          <t>Duan et al. (2019)</t>
        </is>
      </c>
      <c r="D6" s="3" t="inlineStr">
        <is>
          <t>International Journal of Information Management</t>
        </is>
      </c>
      <c r="E6" s="3" t="inlineStr">
        <is>
          <t>10.1016/j.ijinfomgt.2019.01.021</t>
        </is>
      </c>
      <c r="F6" s="3" t="inlineStr">
        <is>
          <t>Duan 2019</t>
        </is>
      </c>
      <c r="G6" s="3" t="inlineStr">
        <is>
          <t>Explicabilidad y decisiones</t>
        </is>
      </c>
    </row>
    <row r="7" ht="42" customHeight="1">
      <c r="A7" s="4" t="inlineStr">
        <is>
          <t>Forecasting / validación</t>
        </is>
      </c>
      <c r="B7" s="4" t="inlineStr">
        <is>
          <t>13</t>
        </is>
      </c>
      <c r="C7" s="4" t="inlineStr">
        <is>
          <t>Makridakis et al. (2018)</t>
        </is>
      </c>
      <c r="D7" s="4" t="inlineStr">
        <is>
          <t>PLOS ONE</t>
        </is>
      </c>
      <c r="E7" s="4" t="inlineStr">
        <is>
          <t>10.1371/journal.pone.0194889</t>
        </is>
      </c>
      <c r="F7" s="4" t="inlineStr">
        <is>
          <t>Makridakis 2018</t>
        </is>
      </c>
      <c r="G7" s="4" t="inlineStr">
        <is>
          <t>Backtesting y benchmarks</t>
        </is>
      </c>
    </row>
    <row r="8" ht="42" customHeight="1">
      <c r="A8" s="3" t="inlineStr">
        <is>
          <t>Random Forest</t>
        </is>
      </c>
      <c r="B8" s="3" t="inlineStr">
        <is>
          <t>35</t>
        </is>
      </c>
      <c r="C8" s="3" t="inlineStr">
        <is>
          <t>Breiman (2001)</t>
        </is>
      </c>
      <c r="D8" s="3" t="inlineStr">
        <is>
          <t>Machine Learning</t>
        </is>
      </c>
      <c r="E8" s="3" t="inlineStr">
        <is>
          <t>10.1023/A:1010933404324</t>
        </is>
      </c>
      <c r="F8" s="3" t="inlineStr">
        <is>
          <t>Breiman 2001</t>
        </is>
      </c>
      <c r="G8" s="3" t="inlineStr">
        <is>
          <t>Algoritmo demanda</t>
        </is>
      </c>
    </row>
    <row r="9" ht="42" customHeight="1">
      <c r="A9" s="4" t="inlineStr">
        <is>
          <t>Big data operaciones</t>
        </is>
      </c>
      <c r="B9" s="4" t="inlineStr">
        <is>
          <t>40</t>
        </is>
      </c>
      <c r="C9" s="4" t="inlineStr">
        <is>
          <t>Choi et al. (2018)</t>
        </is>
      </c>
      <c r="D9" s="4" t="inlineStr">
        <is>
          <t>Production and Operations Management</t>
        </is>
      </c>
      <c r="E9" s="4" t="inlineStr">
        <is>
          <t>10.1111/poms.12838</t>
        </is>
      </c>
      <c r="F9" s="4" t="inlineStr">
        <is>
          <t>Choi 2018</t>
        </is>
      </c>
      <c r="G9" s="4" t="inlineStr">
        <is>
          <t>Calidad datos operativos</t>
        </is>
      </c>
    </row>
    <row r="10" ht="42" customHeight="1">
      <c r="A10" s="3" t="inlineStr">
        <is>
          <t>Big data desempeño</t>
        </is>
      </c>
      <c r="B10" s="3" t="inlineStr">
        <is>
          <t>12</t>
        </is>
      </c>
      <c r="C10" s="3" t="inlineStr">
        <is>
          <t>Amba et al. (2017)</t>
        </is>
      </c>
      <c r="D10" s="3" t="inlineStr">
        <is>
          <t>Journal of Business Research</t>
        </is>
      </c>
      <c r="E10" s="3" t="inlineStr">
        <is>
          <t>10.1016/j.jbusres.2016.08.009</t>
        </is>
      </c>
      <c r="F10" s="3" t="inlineStr">
        <is>
          <t>Amba 2017</t>
        </is>
      </c>
      <c r="G10" s="3" t="inlineStr">
        <is>
          <t>Analytics PYME</t>
        </is>
      </c>
    </row>
    <row r="11" ht="42" customHeight="1">
      <c r="A11" s="4" t="inlineStr">
        <is>
          <t>Retail forecasting</t>
        </is>
      </c>
      <c r="B11" s="4" t="inlineStr">
        <is>
          <t>14</t>
        </is>
      </c>
      <c r="C11" s="4" t="inlineStr">
        <is>
          <t>Fildes et al. (2019)</t>
        </is>
      </c>
      <c r="D11" s="4" t="inlineStr">
        <is>
          <t>International Journal of Forecasting</t>
        </is>
      </c>
      <c r="E11" s="4" t="inlineStr">
        <is>
          <t>10.1016/j.ijforecast.2019.06.004</t>
        </is>
      </c>
      <c r="F11" s="4" t="inlineStr">
        <is>
          <t>Fildes 2019</t>
        </is>
      </c>
      <c r="G11" s="4" t="inlineStr">
        <is>
          <t>Monitoreo demanda retail</t>
        </is>
      </c>
    </row>
    <row r="12" ht="42" customHeight="1">
      <c r="A12" s="3" t="inlineStr">
        <is>
          <t>Prescriptive analytics</t>
        </is>
      </c>
      <c r="B12" s="3" t="inlineStr">
        <is>
          <t>39</t>
        </is>
      </c>
      <c r="C12" s="3" t="inlineStr">
        <is>
          <t>Lepenioti et al. (2020)</t>
        </is>
      </c>
      <c r="D12" s="3" t="inlineStr">
        <is>
          <t>International Journal of Information Management</t>
        </is>
      </c>
      <c r="E12" s="3" t="inlineStr">
        <is>
          <t>10.1016/j.ijinfomgt.2019.04.003</t>
        </is>
      </c>
      <c r="F12" s="3" t="inlineStr">
        <is>
          <t>Lepenioti 2020</t>
        </is>
      </c>
      <c r="G12" s="3" t="inlineStr">
        <is>
          <t>Alertas y recomendaciones</t>
        </is>
      </c>
    </row>
    <row r="13" ht="42" customHeight="1">
      <c r="A13" s="4" t="inlineStr">
        <is>
          <t>Adopción organizacional IA</t>
        </is>
      </c>
      <c r="B13" s="4" t="inlineStr">
        <is>
          <t>11</t>
        </is>
      </c>
      <c r="C13" s="4" t="inlineStr">
        <is>
          <t>Shrestha et al. (2019)</t>
        </is>
      </c>
      <c r="D13" s="4" t="inlineStr">
        <is>
          <t>California Management Review</t>
        </is>
      </c>
      <c r="E13" s="4" t="inlineStr">
        <is>
          <t>10.1177/0008125619862257</t>
        </is>
      </c>
      <c r="F13" s="4" t="inlineStr">
        <is>
          <t>Shrestha 2019</t>
        </is>
      </c>
      <c r="G13" s="4" t="inlineStr">
        <is>
          <t>Supervisión humana</t>
        </is>
      </c>
    </row>
    <row r="14" ht="42" customHeight="1">
      <c r="A14" s="3" t="inlineStr">
        <is>
          <t>E-commerce + IA PYME</t>
        </is>
      </c>
      <c r="B14" s="3" t="inlineStr">
        <is>
          <t>43</t>
        </is>
      </c>
      <c r="C14" s="3" t="inlineStr">
        <is>
          <t>Dai et al. (2024)</t>
        </is>
      </c>
      <c r="D14" s="3" t="inlineStr">
        <is>
          <t>PLOS ONE</t>
        </is>
      </c>
      <c r="E14" s="3" t="inlineStr">
        <is>
          <t>10.1371/journal.pone.0305639</t>
        </is>
      </c>
      <c r="F14" s="3" t="inlineStr">
        <is>
          <t>Dai 2024</t>
        </is>
      </c>
      <c r="G14" s="3" t="inlineStr">
        <is>
          <t>Contexto negocio</t>
        </is>
      </c>
    </row>
    <row r="15" ht="42" customHeight="1">
      <c r="A15" s="4" t="inlineStr">
        <is>
          <t>Seguridad zero-trust</t>
        </is>
      </c>
      <c r="B15" s="4" t="inlineStr">
        <is>
          <t>44</t>
        </is>
      </c>
      <c r="C15" s="4" t="inlineStr">
        <is>
          <t>Buck et al. (2021)</t>
        </is>
      </c>
      <c r="D15" s="4" t="inlineStr">
        <is>
          <t>Computers &amp; Security</t>
        </is>
      </c>
      <c r="E15" s="4" t="inlineStr">
        <is>
          <t>10.1016/j.cose.2021.102436</t>
        </is>
      </c>
      <c r="F15" s="4" t="inlineStr">
        <is>
          <t>Buck 2021</t>
        </is>
      </c>
      <c r="G15" s="4" t="inlineStr">
        <is>
          <t>Auth API IA / RLS</t>
        </is>
      </c>
    </row>
    <row r="16" ht="42" customHeight="1">
      <c r="A16" s="3" t="inlineStr">
        <is>
          <t>Ciber e-commerce</t>
        </is>
      </c>
      <c r="B16" s="3" t="inlineStr">
        <is>
          <t>47</t>
        </is>
      </c>
      <c r="C16" s="3" t="inlineStr">
        <is>
          <t>Lallie et al. (2021)</t>
        </is>
      </c>
      <c r="D16" s="3" t="inlineStr">
        <is>
          <t>Computers &amp; Security</t>
        </is>
      </c>
      <c r="E16" s="3" t="inlineStr">
        <is>
          <t>10.1016/j.cose.2021.102248</t>
        </is>
      </c>
      <c r="F16" s="3" t="inlineStr">
        <is>
          <t>Lallie 2021</t>
        </is>
      </c>
      <c r="G16" s="3" t="inlineStr">
        <is>
          <t>Hardening DAST</t>
        </is>
      </c>
    </row>
    <row r="17" ht="42" customHeight="1">
      <c r="A17" s="4" t="inlineStr">
        <is>
          <t>Microservicios</t>
        </is>
      </c>
      <c r="B17" s="4" t="inlineStr">
        <is>
          <t>28</t>
        </is>
      </c>
      <c r="C17" s="4" t="inlineStr">
        <is>
          <t>Jamshidi et al. (2018)</t>
        </is>
      </c>
      <c r="D17" s="4" t="inlineStr">
        <is>
          <t>IEEE Software</t>
        </is>
      </c>
      <c r="E17" s="4" t="inlineStr">
        <is>
          <t>10.1109/ms.2018.2141039</t>
        </is>
      </c>
      <c r="F17" s="4" t="inlineStr">
        <is>
          <t>Jamshidi 2018</t>
        </is>
      </c>
      <c r="G17" s="4" t="inlineStr">
        <is>
          <t>Arquitectura ai-service</t>
        </is>
      </c>
    </row>
    <row r="18" ht="42" customHeight="1">
      <c r="A18" s="3" t="inlineStr">
        <is>
          <t>Transformación digital</t>
        </is>
      </c>
      <c r="B18" s="3" t="inlineStr">
        <is>
          <t>01</t>
        </is>
      </c>
      <c r="C18" s="3" t="inlineStr">
        <is>
          <t>Verhoef et al. (2019)</t>
        </is>
      </c>
      <c r="D18" s="3" t="inlineStr">
        <is>
          <t>Journal of Business Research</t>
        </is>
      </c>
      <c r="E18" s="3" t="inlineStr">
        <is>
          <t>10.1016/j.jbusres.2019.09.022</t>
        </is>
      </c>
      <c r="F18" s="3" t="inlineStr">
        <is>
          <t>Verhoef 2019</t>
        </is>
      </c>
      <c r="G18" s="3" t="inlineStr">
        <is>
          <t>Alcance AIMS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38" customWidth="1" min="4" max="4"/>
    <col width="8" customWidth="1" min="5" max="5"/>
    <col width="38" customWidth="1" min="6" max="6"/>
    <col width="10" customWidth="1" min="7" max="7"/>
    <col width="42" customWidth="1" min="8" max="8"/>
  </cols>
  <sheetData>
    <row r="1" ht="36" customHeight="1">
      <c r="A1" s="2" t="inlineStr">
        <is>
          <t>ID_Control</t>
        </is>
      </c>
      <c r="B1" s="2" t="inlineStr">
        <is>
          <t>Clausula_42001</t>
        </is>
      </c>
      <c r="C1" s="2" t="inlineStr">
        <is>
          <t>Control</t>
        </is>
      </c>
      <c r="D1" s="2" t="inlineStr">
        <is>
          <t>Evidencia_repo</t>
        </is>
      </c>
      <c r="E1" s="2" t="inlineStr">
        <is>
          <t>Art_num</t>
        </is>
      </c>
      <c r="F1" s="2" t="inlineStr">
        <is>
          <t>DOI</t>
        </is>
      </c>
      <c r="G1" s="2" t="inlineStr">
        <is>
          <t>Estado</t>
        </is>
      </c>
      <c r="H1" s="2" t="inlineStr">
        <is>
          <t>Observacion</t>
        </is>
      </c>
    </row>
    <row r="2" ht="42" customHeight="1">
      <c r="A2" s="3" t="inlineStr">
        <is>
          <t>CTL-42001-01</t>
        </is>
      </c>
      <c r="B2" s="3" t="inlineStr">
        <is>
          <t>4 Contexto</t>
        </is>
      </c>
      <c r="C2" s="3" t="inlineStr">
        <is>
          <t>Alcance AIMS: e-commerce + IRE comercial-operativo PYME</t>
        </is>
      </c>
      <c r="D2" s="3" t="inlineStr">
        <is>
          <t>01-marco-y-tesis.md; formato-09</t>
        </is>
      </c>
      <c r="E2" s="3" t="inlineStr">
        <is>
          <t>01</t>
        </is>
      </c>
      <c r="F2" s="3" t="inlineStr">
        <is>
          <t>10.1016/j.jbusres.2019.09.022</t>
        </is>
      </c>
      <c r="G2" s="3" t="inlineStr">
        <is>
          <t>VERDE</t>
        </is>
      </c>
      <c r="H2" s="3" t="inlineStr">
        <is>
          <t>Verhoef 2019 — transformación digital</t>
        </is>
      </c>
    </row>
    <row r="3" ht="42" customHeight="1">
      <c r="A3" s="4" t="inlineStr">
        <is>
          <t>CTL-42001-02</t>
        </is>
      </c>
      <c r="B3" s="4" t="inlineStr">
        <is>
          <t>5 Liderazgo</t>
        </is>
      </c>
      <c r="C3" s="4" t="inlineStr">
        <is>
          <t>Roles admin/dirección para decisiones asistidas por IA</t>
        </is>
      </c>
      <c r="D3" s="4" t="inlineStr">
        <is>
          <t>AdminPredictions.tsx; RF-IA-03</t>
        </is>
      </c>
      <c r="E3" s="4" t="inlineStr">
        <is>
          <t>11</t>
        </is>
      </c>
      <c r="F3" s="4" t="inlineStr">
        <is>
          <t>10.1177/0008125619862257</t>
        </is>
      </c>
      <c r="G3" s="4" t="inlineStr">
        <is>
          <t>VERDE</t>
        </is>
      </c>
      <c r="H3" s="4" t="inlineStr">
        <is>
          <t>Shrestha 2019 — decisiones organizacionales IA</t>
        </is>
      </c>
    </row>
    <row r="4" ht="42" customHeight="1">
      <c r="A4" s="3" t="inlineStr">
        <is>
          <t>CTL-42001-03</t>
        </is>
      </c>
      <c r="B4" s="3" t="inlineStr">
        <is>
          <t>6 Planificación</t>
        </is>
      </c>
      <c r="C4" s="3" t="inlineStr">
        <is>
          <t>Riesgos IA documentados (drift, cold start, sesgo pesos)</t>
        </is>
      </c>
      <c r="D4" s="3" t="inlineStr">
        <is>
          <t>07-modulo-ia §9; hoja RIESGOS_IA</t>
        </is>
      </c>
      <c r="E4" s="3" t="inlineStr">
        <is>
          <t>41</t>
        </is>
      </c>
      <c r="F4" s="3" t="inlineStr">
        <is>
          <t>10.1007/s10664-021-09993-1</t>
        </is>
      </c>
      <c r="G4" s="3" t="inlineStr">
        <is>
          <t>VERDE</t>
        </is>
      </c>
      <c r="H4" s="3" t="inlineStr">
        <is>
          <t>Haakman 2021 — ciclo vida IA</t>
        </is>
      </c>
    </row>
    <row r="5" ht="42" customHeight="1">
      <c r="A5" s="4" t="inlineStr">
        <is>
          <t>CTL-42001-04</t>
        </is>
      </c>
      <c r="B5" s="4" t="inlineStr">
        <is>
          <t>7 Soporte — Datos</t>
        </is>
      </c>
      <c r="C5" s="4" t="inlineStr">
        <is>
          <t>Calidad y suficiencia data_sufficient + ventasDiarias</t>
        </is>
      </c>
      <c r="D5" s="4" t="inlineStr">
        <is>
          <t>ai-service/models/demand/predict.py; predictionDataQuality.test.ts</t>
        </is>
      </c>
      <c r="E5" s="4" t="inlineStr">
        <is>
          <t>40</t>
        </is>
      </c>
      <c r="F5" s="4" t="inlineStr">
        <is>
          <t>10.1111/poms.12838</t>
        </is>
      </c>
      <c r="G5" s="4" t="inlineStr">
        <is>
          <t>VERDE</t>
        </is>
      </c>
      <c r="H5" s="4" t="inlineStr">
        <is>
          <t>Choi 2018 — analytics operaciones</t>
        </is>
      </c>
    </row>
    <row r="6" ht="42" customHeight="1">
      <c r="A6" s="3" t="inlineStr">
        <is>
          <t>CTL-42001-05</t>
        </is>
      </c>
      <c r="B6" s="3" t="inlineStr">
        <is>
          <t>7 Soporte — Datos</t>
        </is>
      </c>
      <c r="C6" s="3" t="inlineStr">
        <is>
          <t>Big data KPIs alimentan IRE</t>
        </is>
      </c>
      <c r="D6" s="3" t="inlineStr">
        <is>
          <t>RF-ADM-01; ireHistorial</t>
        </is>
      </c>
      <c r="E6" s="3" t="inlineStr">
        <is>
          <t>12</t>
        </is>
      </c>
      <c r="F6" s="3" t="inlineStr">
        <is>
          <t>10.1016/j.jbusres.2016.08.009</t>
        </is>
      </c>
      <c r="G6" s="3" t="inlineStr">
        <is>
          <t>VERDE</t>
        </is>
      </c>
      <c r="H6" s="3" t="inlineStr">
        <is>
          <t>Amba 2017 — big data desempeño</t>
        </is>
      </c>
    </row>
    <row r="7" ht="42" customHeight="1">
      <c r="A7" s="4" t="inlineStr">
        <is>
          <t>CTL-42001-06</t>
        </is>
      </c>
      <c r="B7" s="4" t="inlineStr">
        <is>
          <t>8 Operación — Ciclo vida</t>
        </is>
      </c>
      <c r="C7" s="4" t="inlineStr">
        <is>
          <t>CRISP-ML(Q): entrenar → desplegar → monitorear</t>
        </is>
      </c>
      <c r="D7" s="4" t="inlineStr">
        <is>
          <t>ai-service/; modelo_estado; evaluate.py</t>
        </is>
      </c>
      <c r="E7" s="4" t="inlineStr">
        <is>
          <t>29</t>
        </is>
      </c>
      <c r="F7" s="4" t="inlineStr">
        <is>
          <t>10.1016/j.infsof.2020.106368</t>
        </is>
      </c>
      <c r="G7" s="4" t="inlineStr">
        <is>
          <t>VERDE</t>
        </is>
      </c>
      <c r="H7" s="4" t="inlineStr">
        <is>
          <t>Lwakatare 2020 — ML industrial</t>
        </is>
      </c>
    </row>
    <row r="8" ht="42" customHeight="1">
      <c r="A8" s="3" t="inlineStr">
        <is>
          <t>CTL-42001-07</t>
        </is>
      </c>
      <c r="B8" s="3" t="inlineStr">
        <is>
          <t>8 Operación — Despliegue</t>
        </is>
      </c>
      <c r="C8" s="3" t="inlineStr">
        <is>
          <t>Desafíos ML producción mitigados (FastAPI Render Docker)</t>
        </is>
      </c>
      <c r="D8" s="3" t="inlineStr">
        <is>
          <t>ai-service/Dockerfile; docs/ops</t>
        </is>
      </c>
      <c r="E8" s="3" t="inlineStr">
        <is>
          <t>32</t>
        </is>
      </c>
      <c r="F8" s="3" t="inlineStr">
        <is>
          <t>10.1145/3533378</t>
        </is>
      </c>
      <c r="G8" s="3" t="inlineStr">
        <is>
          <t>AMBAR</t>
        </is>
      </c>
      <c r="H8" s="3" t="inlineStr">
        <is>
          <t>Paleyes 2022 — despliegue ML; series PYME cortas</t>
        </is>
      </c>
    </row>
    <row r="9" ht="42" customHeight="1">
      <c r="A9" s="4" t="inlineStr">
        <is>
          <t>CTL-42001-08</t>
        </is>
      </c>
      <c r="B9" s="4" t="inlineStr">
        <is>
          <t>8 Operación — SE for AI</t>
        </is>
      </c>
      <c r="C9" s="4" t="inlineStr">
        <is>
          <t>Ingeniería sistemas basados en IA verificable</t>
        </is>
      </c>
      <c r="D9" s="4" t="inlineStr">
        <is>
          <t>verify-idoneidad; Martínez-Fernández trazabilidad</t>
        </is>
      </c>
      <c r="E9" s="4" t="inlineStr">
        <is>
          <t>33</t>
        </is>
      </c>
      <c r="F9" s="4" t="inlineStr">
        <is>
          <t>10.1145/3487043</t>
        </is>
      </c>
      <c r="G9" s="4" t="inlineStr">
        <is>
          <t>VERDE</t>
        </is>
      </c>
      <c r="H9" s="4" t="inlineStr">
        <is>
          <t>TOSEM 2022 — SE for AI</t>
        </is>
      </c>
    </row>
    <row r="10" ht="42" customHeight="1">
      <c r="A10" s="3" t="inlineStr">
        <is>
          <t>CTL-42001-09</t>
        </is>
      </c>
      <c r="B10" s="3" t="inlineStr">
        <is>
          <t>8 Operación — Validación</t>
        </is>
      </c>
      <c r="C10" s="3" t="inlineStr">
        <is>
          <t>Backtesting MAPE/RMSE gate automatizado</t>
        </is>
      </c>
      <c r="D10" s="3" t="inlineStr">
        <is>
          <t>scripts/ai-backtest-gate.mjs; evaluate.py</t>
        </is>
      </c>
      <c r="E10" s="3" t="inlineStr">
        <is>
          <t>13</t>
        </is>
      </c>
      <c r="F10" s="3" t="inlineStr">
        <is>
          <t>10.1371/journal.pone.0194889</t>
        </is>
      </c>
      <c r="G10" s="3" t="inlineStr">
        <is>
          <t>VERDE</t>
        </is>
      </c>
      <c r="H10" s="3" t="inlineStr">
        <is>
          <t>Makridakis 2018 — forecasting</t>
        </is>
      </c>
    </row>
    <row r="11" ht="42" customHeight="1">
      <c r="A11" s="4" t="inlineStr">
        <is>
          <t>CTL-42001-10</t>
        </is>
      </c>
      <c r="B11" s="4" t="inlineStr">
        <is>
          <t>8 Operación — Modelo</t>
        </is>
      </c>
      <c r="C11" s="4" t="inlineStr">
        <is>
          <t>Random Forest demanda con fallback conservador</t>
        </is>
      </c>
      <c r="D11" s="4" t="inlineStr">
        <is>
          <t>ai-service/models/demand.py</t>
        </is>
      </c>
      <c r="E11" s="4" t="inlineStr">
        <is>
          <t>35</t>
        </is>
      </c>
      <c r="F11" s="4" t="inlineStr">
        <is>
          <t>10.1023/A:1010933404324</t>
        </is>
      </c>
      <c r="G11" s="4" t="inlineStr">
        <is>
          <t>VERDE</t>
        </is>
      </c>
      <c r="H11" s="4" t="inlineStr">
        <is>
          <t>Breiman 2001 — random forests</t>
        </is>
      </c>
    </row>
    <row r="12" ht="42" customHeight="1">
      <c r="A12" s="3" t="inlineStr">
        <is>
          <t>CTL-42001-11</t>
        </is>
      </c>
      <c r="B12" s="3" t="inlineStr">
        <is>
          <t>8 Operación — Explicabilidad</t>
        </is>
      </c>
      <c r="C12" s="3" t="inlineStr">
        <is>
          <t>IRE reglas explícitas 40/35/25 + contribuciones UI</t>
        </is>
      </c>
      <c r="D12" s="3" t="inlineStr">
        <is>
          <t>ai-service/models/risk.py; AdminPredictions</t>
        </is>
      </c>
      <c r="E12" s="3" t="inlineStr">
        <is>
          <t>09</t>
        </is>
      </c>
      <c r="F12" s="3" t="inlineStr">
        <is>
          <t>10.1016/j.ijinfomgt.2019.01.021</t>
        </is>
      </c>
      <c r="G12" s="3" t="inlineStr">
        <is>
          <t>VERDE</t>
        </is>
      </c>
      <c r="H12" s="3" t="inlineStr">
        <is>
          <t>Duan 2019 — IA decisiones Big Data</t>
        </is>
      </c>
    </row>
    <row r="13" ht="42" customHeight="1">
      <c r="A13" s="4" t="inlineStr">
        <is>
          <t>CTL-42001-12</t>
        </is>
      </c>
      <c r="B13" s="4" t="inlineStr">
        <is>
          <t>8 Operación — Prescripción</t>
        </is>
      </c>
      <c r="C13" s="4" t="inlineStr">
        <is>
          <t>Alertas stock y recomendaciones ABC</t>
        </is>
      </c>
      <c r="D13" s="4" t="inlineStr">
        <is>
          <t>IN-27; IN-34; RF-IA-03</t>
        </is>
      </c>
      <c r="E13" s="4" t="inlineStr">
        <is>
          <t>39</t>
        </is>
      </c>
      <c r="F13" s="4" t="inlineStr">
        <is>
          <t>10.1016/j.ijinfomgt.2019.04.003</t>
        </is>
      </c>
      <c r="G13" s="4" t="inlineStr">
        <is>
          <t>VERDE</t>
        </is>
      </c>
      <c r="H13" s="4" t="inlineStr">
        <is>
          <t>Lepenioti 2020 — prescriptive analytics</t>
        </is>
      </c>
    </row>
    <row r="14" ht="42" customHeight="1">
      <c r="A14" s="3" t="inlineStr">
        <is>
          <t>CTL-42001-13</t>
        </is>
      </c>
      <c r="B14" s="3" t="inlineStr">
        <is>
          <t>8 Operación — Supervisión humana</t>
        </is>
      </c>
      <c r="C14" s="3" t="inlineStr">
        <is>
          <t>Feedback campaña confirmar/rechazar + panel admin</t>
        </is>
      </c>
      <c r="D14" s="3" t="inlineStr">
        <is>
          <t>ai-service/models/campaign.py; POST /api/campaign/feedback</t>
        </is>
      </c>
      <c r="E14" s="3" t="inlineStr">
        <is>
          <t>11</t>
        </is>
      </c>
      <c r="F14" s="3" t="inlineStr">
        <is>
          <t>10.1177/0008125619862257</t>
        </is>
      </c>
      <c r="G14" s="3" t="inlineStr">
        <is>
          <t>VERDE</t>
        </is>
      </c>
      <c r="H14" s="3" t="inlineStr">
        <is>
          <t>Human-in-the-loop campañas</t>
        </is>
      </c>
    </row>
    <row r="15" ht="42" customHeight="1">
      <c r="A15" s="4" t="inlineStr">
        <is>
          <t>CTL-42001-14</t>
        </is>
      </c>
      <c r="B15" s="4" t="inlineStr">
        <is>
          <t>8 Operación — Monitoreo</t>
        </is>
      </c>
      <c r="C15" s="4" t="inlineStr">
        <is>
          <t>drift_score + historial IRE longitudinal</t>
        </is>
      </c>
      <c r="D15" s="4" t="inlineStr">
        <is>
          <t>ireHistorial; test_risk.py proyección</t>
        </is>
      </c>
      <c r="E15" s="4" t="inlineStr">
        <is>
          <t>14</t>
        </is>
      </c>
      <c r="F15" s="4" t="inlineStr">
        <is>
          <t>10.1016/j.ijforecast.2019.06.004</t>
        </is>
      </c>
      <c r="G15" s="4" t="inlineStr">
        <is>
          <t>AMBAR</t>
        </is>
      </c>
      <c r="H15" s="4" t="inlineStr">
        <is>
          <t>Fildes 2019 — retail forecasting</t>
        </is>
      </c>
    </row>
    <row r="16" ht="42" customHeight="1">
      <c r="A16" s="3" t="inlineStr">
        <is>
          <t>CTL-42001-15</t>
        </is>
      </c>
      <c r="B16" s="3" t="inlineStr">
        <is>
          <t>8 Operación — Seguridad IA</t>
        </is>
      </c>
      <c r="C16" s="3" t="inlineStr">
        <is>
          <t>Auth Bearer Firebase; BFF fail-closed; RLS</t>
        </is>
      </c>
      <c r="D16" s="3" t="inlineStr">
        <is>
          <t>firebase_verifier.py; verify-seguridad</t>
        </is>
      </c>
      <c r="E16" s="3" t="inlineStr">
        <is>
          <t>44</t>
        </is>
      </c>
      <c r="F16" s="3" t="inlineStr">
        <is>
          <t>10.1016/j.cose.2021.102436</t>
        </is>
      </c>
      <c r="G16" s="3" t="inlineStr">
        <is>
          <t>VERDE</t>
        </is>
      </c>
      <c r="H16" s="3" t="inlineStr">
        <is>
          <t>Buck 2021 — zero trust</t>
        </is>
      </c>
    </row>
    <row r="17" ht="42" customHeight="1">
      <c r="A17" s="4" t="inlineStr">
        <is>
          <t>CTL-42001-16</t>
        </is>
      </c>
      <c r="B17" s="4" t="inlineStr">
        <is>
          <t>8 Operación — Ciber e-commerce</t>
        </is>
      </c>
      <c r="C17" s="4" t="inlineStr">
        <is>
          <t>DAST ZAP + hardening comercio digital</t>
        </is>
      </c>
      <c r="D17" s="4" t="inlineStr">
        <is>
          <t>zap-production-report-v2.json</t>
        </is>
      </c>
      <c r="E17" s="4" t="inlineStr">
        <is>
          <t>47</t>
        </is>
      </c>
      <c r="F17" s="4" t="inlineStr">
        <is>
          <t>10.1016/j.cose.2021.102248</t>
        </is>
      </c>
      <c r="G17" s="4" t="inlineStr">
        <is>
          <t>VERDE</t>
        </is>
      </c>
      <c r="H17" s="4" t="inlineStr">
        <is>
          <t>Lallie 2021 — ciberataques e-commerce</t>
        </is>
      </c>
    </row>
    <row r="18" ht="42" customHeight="1">
      <c r="A18" s="3" t="inlineStr">
        <is>
          <t>CTL-42001-17</t>
        </is>
      </c>
      <c r="B18" s="3" t="inlineStr">
        <is>
          <t>9 Evaluación desempeño</t>
        </is>
      </c>
      <c r="C18" s="3" t="inlineStr">
        <is>
          <t>Métricas modelo + gates CI antes release</t>
        </is>
      </c>
      <c r="D18" s="3" t="inlineStr">
        <is>
          <t>ci.yml; ai-backtest-gate.mjs</t>
        </is>
      </c>
      <c r="E18" s="3" t="inlineStr">
        <is>
          <t>33</t>
        </is>
      </c>
      <c r="F18" s="3" t="inlineStr">
        <is>
          <t>10.1145/3487043</t>
        </is>
      </c>
      <c r="G18" s="3" t="inlineStr">
        <is>
          <t>VERDE</t>
        </is>
      </c>
      <c r="H18" s="3" t="inlineStr">
        <is>
          <t>Evaluación continua</t>
        </is>
      </c>
    </row>
    <row r="19" ht="42" customHeight="1">
      <c r="A19" s="4" t="inlineStr">
        <is>
          <t>CTL-42001-18</t>
        </is>
      </c>
      <c r="B19" s="4" t="inlineStr">
        <is>
          <t>10 Mejora</t>
        </is>
      </c>
      <c r="C19" s="4" t="inlineStr">
        <is>
          <t>Reentrenamiento bajo demanda + versionado modelo_estado</t>
        </is>
      </c>
      <c r="D19" s="4" t="inlineStr">
        <is>
          <t>save_modelo_estado; migrations</t>
        </is>
      </c>
      <c r="E19" s="4" t="inlineStr">
        <is>
          <t>41</t>
        </is>
      </c>
      <c r="F19" s="4" t="inlineStr">
        <is>
          <t>10.1007/s10664-021-09993-1</t>
        </is>
      </c>
      <c r="G19" s="4" t="inlineStr">
        <is>
          <t>VERDE</t>
        </is>
      </c>
      <c r="H19" s="4" t="inlineStr">
        <is>
          <t>Mejora ciclo IA</t>
        </is>
      </c>
    </row>
    <row r="20" ht="42" customHeight="1">
      <c r="A20" s="3" t="inlineStr">
        <is>
          <t>CTL-42001-19</t>
        </is>
      </c>
      <c r="B20" s="3" t="inlineStr">
        <is>
          <t>Contexto PYME</t>
        </is>
      </c>
      <c r="C20" s="3" t="inlineStr">
        <is>
          <t>E-commerce + IA integrado vs SaaS genérico</t>
        </is>
      </c>
      <c r="D20" s="3" t="inlineStr">
        <is>
          <t>Matriz propuesta valor; CU-T12</t>
        </is>
      </c>
      <c r="E20" s="3" t="inlineStr">
        <is>
          <t>43</t>
        </is>
      </c>
      <c r="F20" s="3" t="inlineStr">
        <is>
          <t>10.1371/journal.pone.0305639</t>
        </is>
      </c>
      <c r="G20" s="3" t="inlineStr">
        <is>
          <t>VERDE</t>
        </is>
      </c>
      <c r="H20" s="3" t="inlineStr">
        <is>
          <t>Dai 2024 — IA big data PYME</t>
        </is>
      </c>
    </row>
    <row r="21" ht="42" customHeight="1">
      <c r="A21" s="4" t="inlineStr">
        <is>
          <t>CTL-42001-20</t>
        </is>
      </c>
      <c r="B21" s="4" t="inlineStr">
        <is>
          <t>Arquitectura</t>
        </is>
      </c>
      <c r="C21" s="4" t="inlineStr">
        <is>
          <t>Microservicios BFF + Supabase + ai-service</t>
        </is>
      </c>
      <c r="D21" s="4" t="inlineStr">
        <is>
          <t>arquitectura-sistema.md; Jamshidi trazabilidad</t>
        </is>
      </c>
      <c r="E21" s="4" t="inlineStr">
        <is>
          <t>28</t>
        </is>
      </c>
      <c r="F21" s="4" t="inlineStr">
        <is>
          <t>10.1109/ms.2018.2141039</t>
        </is>
      </c>
      <c r="G21" s="4" t="inlineStr">
        <is>
          <t>VERDE</t>
        </is>
      </c>
      <c r="H21" s="4" t="inlineStr">
        <is>
          <t>Jamshidi 2018 — microservicios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2" customWidth="1" min="4" max="4"/>
    <col width="10" customWidth="1" min="5" max="5"/>
    <col width="38" customWidth="1" min="6" max="6"/>
    <col width="12" customWidth="1" min="7" max="7"/>
    <col width="32" customWidth="1" min="8" max="8"/>
    <col width="8" customWidth="1" min="9" max="9"/>
    <col width="38" customWidth="1" min="10" max="10"/>
  </cols>
  <sheetData>
    <row r="1" ht="36" customHeight="1">
      <c r="A1" s="2" t="inlineStr">
        <is>
          <t>ID_Riesgo</t>
        </is>
      </c>
      <c r="B1" s="2" t="inlineStr">
        <is>
          <t>Categoria</t>
        </is>
      </c>
      <c r="C1" s="2" t="inlineStr">
        <is>
          <t>Descripcion</t>
        </is>
      </c>
      <c r="D1" s="2" t="inlineStr">
        <is>
          <t>Probabilidad</t>
        </is>
      </c>
      <c r="E1" s="2" t="inlineStr">
        <is>
          <t>Impacto</t>
        </is>
      </c>
      <c r="F1" s="2" t="inlineStr">
        <is>
          <t>Mitigacion</t>
        </is>
      </c>
      <c r="G1" s="2" t="inlineStr">
        <is>
          <t>Estado</t>
        </is>
      </c>
      <c r="H1" s="2" t="inlineStr">
        <is>
          <t>Evidencia</t>
        </is>
      </c>
      <c r="I1" s="2" t="inlineStr">
        <is>
          <t>Art_num</t>
        </is>
      </c>
      <c r="J1" s="2" t="inlineStr">
        <is>
          <t>DOI</t>
        </is>
      </c>
    </row>
    <row r="2" ht="42" customHeight="1">
      <c r="A2" s="3" t="inlineStr">
        <is>
          <t>R-IA-01</t>
        </is>
      </c>
      <c r="B2" s="3" t="inlineStr">
        <is>
          <t>Datos</t>
        </is>
      </c>
      <c r="C2" s="3" t="inlineStr">
        <is>
          <t>Historial corto PYME limita generalización ML</t>
        </is>
      </c>
      <c r="D2" s="3" t="inlineStr">
        <is>
          <t>Alta</t>
        </is>
      </c>
      <c r="E2" s="3" t="inlineStr">
        <is>
          <t>Media</t>
        </is>
      </c>
      <c r="F2" s="3" t="inlineStr">
        <is>
          <t>data_sufficient + fallback promedio móvil</t>
        </is>
      </c>
      <c r="G2" s="3" t="inlineStr">
        <is>
          <t>Mitigado</t>
        </is>
      </c>
      <c r="H2" s="3" t="inlineStr">
        <is>
          <t>07-modulo-ia §9</t>
        </is>
      </c>
      <c r="I2" s="3" t="inlineStr">
        <is>
          <t>32</t>
        </is>
      </c>
      <c r="J2" s="3" t="inlineStr">
        <is>
          <t>10.1145/3533378</t>
        </is>
      </c>
    </row>
    <row r="3" ht="42" customHeight="1">
      <c r="A3" s="4" t="inlineStr">
        <is>
          <t>R-IA-02</t>
        </is>
      </c>
      <c r="B3" s="4" t="inlineStr">
        <is>
          <t>Modelo</t>
        </is>
      </c>
      <c r="C3" s="4" t="inlineStr">
        <is>
          <t>Drift por cambios de catálogo/temporada</t>
        </is>
      </c>
      <c r="D3" s="4" t="inlineStr">
        <is>
          <t>Media</t>
        </is>
      </c>
      <c r="E3" s="4" t="inlineStr">
        <is>
          <t>Media</t>
        </is>
      </c>
      <c r="F3" s="4" t="inlineStr">
        <is>
          <t>drift_score + recálculo periódico</t>
        </is>
      </c>
      <c r="G3" s="4" t="inlineStr">
        <is>
          <t>Monitoreado</t>
        </is>
      </c>
      <c r="H3" s="4" t="inlineStr">
        <is>
          <t>models/demand.py</t>
        </is>
      </c>
      <c r="I3" s="4" t="inlineStr">
        <is>
          <t>14</t>
        </is>
      </c>
      <c r="J3" s="4" t="inlineStr">
        <is>
          <t>10.1016/j.ijforecast.2019.06.004</t>
        </is>
      </c>
    </row>
    <row r="4" ht="42" customHeight="1">
      <c r="A4" s="3" t="inlineStr">
        <is>
          <t>R-IA-03</t>
        </is>
      </c>
      <c r="B4" s="3" t="inlineStr">
        <is>
          <t>Validación</t>
        </is>
      </c>
      <c r="C4" s="3" t="inlineStr">
        <is>
          <t>Sin etiquetas de crisis → no AUC del IRE</t>
        </is>
      </c>
      <c r="D4" s="3" t="inlineStr">
        <is>
          <t>Alta</t>
        </is>
      </c>
      <c r="E4" s="3" t="inlineStr">
        <is>
          <t>Baja</t>
        </is>
      </c>
      <c r="F4" s="3" t="inlineStr">
        <is>
          <t>Validación consistencia + sensibilidad + Likert O₂</t>
        </is>
      </c>
      <c r="G4" s="3" t="inlineStr">
        <is>
          <t>Aceptado</t>
        </is>
      </c>
      <c r="H4" s="3" t="inlineStr">
        <is>
          <t>07-modulo-ia §7.2</t>
        </is>
      </c>
      <c r="I4" s="3" t="inlineStr">
        <is>
          <t>09</t>
        </is>
      </c>
      <c r="J4" s="3" t="inlineStr">
        <is>
          <t>10.1016/j.ijinfomgt.2019.01.021</t>
        </is>
      </c>
    </row>
    <row r="5" ht="42" customHeight="1">
      <c r="A5" s="4" t="inlineStr">
        <is>
          <t>R-IA-04</t>
        </is>
      </c>
      <c r="B5" s="4" t="inlineStr">
        <is>
          <t>Gobernanza</t>
        </is>
      </c>
      <c r="C5" s="4" t="inlineStr">
        <is>
          <t>Pesos IRE 40/35/25 percibidos como arbitrarios</t>
        </is>
      </c>
      <c r="D5" s="4" t="inlineStr">
        <is>
          <t>Media</t>
        </is>
      </c>
      <c r="E5" s="4" t="inlineStr">
        <is>
          <t>Media</t>
        </is>
      </c>
      <c r="F5" s="4" t="inlineStr">
        <is>
          <t>Sensibilidad documentada + aprobación asesor</t>
        </is>
      </c>
      <c r="G5" s="4" t="inlineStr">
        <is>
          <t>Mitigado</t>
        </is>
      </c>
      <c r="H5" s="4" t="inlineStr">
        <is>
          <t>07-modulo-ia §4</t>
        </is>
      </c>
      <c r="I5" s="4" t="inlineStr">
        <is>
          <t>11</t>
        </is>
      </c>
      <c r="J5" s="4" t="inlineStr">
        <is>
          <t>10.1177/0008125619862257</t>
        </is>
      </c>
    </row>
    <row r="6" ht="42" customHeight="1">
      <c r="A6" s="3" t="inlineStr">
        <is>
          <t>R-IA-05</t>
        </is>
      </c>
      <c r="B6" s="3" t="inlineStr">
        <is>
          <t>Operación</t>
        </is>
      </c>
      <c r="C6" s="3" t="inlineStr">
        <is>
          <t>Cold start: predicciones sin datos suficientes</t>
        </is>
      </c>
      <c r="D6" s="3" t="inlineStr">
        <is>
          <t>Alta</t>
        </is>
      </c>
      <c r="E6" s="3" t="inlineStr">
        <is>
          <t>Alta</t>
        </is>
      </c>
      <c r="F6" s="3" t="inlineStr">
        <is>
          <t>Banner data_sufficient=false; E2E TC-PRED-003</t>
        </is>
      </c>
      <c r="G6" s="3" t="inlineStr">
        <is>
          <t>Controlado</t>
        </is>
      </c>
      <c r="H6" s="3" t="inlineStr">
        <is>
          <t>admin-predictions.spec.ts</t>
        </is>
      </c>
      <c r="I6" s="3" t="inlineStr">
        <is>
          <t>41</t>
        </is>
      </c>
      <c r="J6" s="3" t="inlineStr">
        <is>
          <t>10.1007/s10664-021-09993-1</t>
        </is>
      </c>
    </row>
    <row r="7" ht="42" customHeight="1">
      <c r="A7" s="4" t="inlineStr">
        <is>
          <t>R-IA-06</t>
        </is>
      </c>
      <c r="B7" s="4" t="inlineStr">
        <is>
          <t>Seguridad</t>
        </is>
      </c>
      <c r="C7" s="4" t="inlineStr">
        <is>
          <t>Exposición API IA sin autenticación</t>
        </is>
      </c>
      <c r="D7" s="4" t="inlineStr">
        <is>
          <t>Crítica</t>
        </is>
      </c>
      <c r="E7" s="4" t="inlineStr">
        <is>
          <t>Baja</t>
        </is>
      </c>
      <c r="F7" s="4" t="inlineStr">
        <is>
          <t>Firebase Bearer + tests contrato API</t>
        </is>
      </c>
      <c r="G7" s="4" t="inlineStr">
        <is>
          <t>Mitigado</t>
        </is>
      </c>
      <c r="H7" s="4" t="inlineStr">
        <is>
          <t>test_firebase_verifier.py</t>
        </is>
      </c>
      <c r="I7" s="4" t="inlineStr">
        <is>
          <t>44</t>
        </is>
      </c>
      <c r="J7" s="4" t="inlineStr">
        <is>
          <t>10.1016/j.cose.2021.102436</t>
        </is>
      </c>
    </row>
    <row r="8" ht="42" customHeight="1">
      <c r="A8" s="3" t="inlineStr">
        <is>
          <t>R-IA-07</t>
        </is>
      </c>
      <c r="B8" s="3" t="inlineStr">
        <is>
          <t>Sesgo</t>
        </is>
      </c>
      <c r="C8" s="3" t="inlineStr">
        <is>
          <t>Sesgo hacia productos alta rotación en alertas</t>
        </is>
      </c>
      <c r="D8" s="3" t="inlineStr">
        <is>
          <t>Media</t>
        </is>
      </c>
      <c r="E8" s="3" t="inlineStr">
        <is>
          <t>Media</t>
        </is>
      </c>
      <c r="F8" s="3" t="inlineStr">
        <is>
          <t>Análisis ABC + revisión admin</t>
        </is>
      </c>
      <c r="G8" s="3" t="inlineStr">
        <is>
          <t>Monitoreado</t>
        </is>
      </c>
      <c r="H8" s="3" t="inlineStr">
        <is>
          <t>IN-34</t>
        </is>
      </c>
      <c r="I8" s="3" t="inlineStr">
        <is>
          <t>40</t>
        </is>
      </c>
      <c r="J8" s="3" t="inlineStr">
        <is>
          <t>10.1111/poms.12838</t>
        </is>
      </c>
    </row>
    <row r="9" ht="42" customHeight="1">
      <c r="A9" s="4" t="inlineStr">
        <is>
          <t>R-IA-08</t>
        </is>
      </c>
      <c r="B9" s="4" t="inlineStr">
        <is>
          <t>Legal</t>
        </is>
      </c>
      <c r="C9" s="4" t="inlineStr">
        <is>
          <t>Decisiones automatizadas sin política explícita IA</t>
        </is>
      </c>
      <c r="D9" s="4" t="inlineStr">
        <is>
          <t>Media</t>
        </is>
      </c>
      <c r="E9" s="4" t="inlineStr">
        <is>
          <t>Baja</t>
        </is>
      </c>
      <c r="F9" s="4" t="inlineStr">
        <is>
          <t>Términos + política privacidad + supervisión humana</t>
        </is>
      </c>
      <c r="G9" s="4" t="inlineStr">
        <is>
          <t>Mitigado</t>
        </is>
      </c>
      <c r="H9" s="4" t="inlineStr">
        <is>
          <t>RF-LEG; Ley 29733</t>
        </is>
      </c>
      <c r="I9" s="4" t="inlineStr">
        <is>
          <t>44</t>
        </is>
      </c>
      <c r="J9" s="4" t="inlineStr">
        <is>
          <t>10.1016/j.cose.2021.102436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2" customWidth="1" min="3" max="3"/>
  </cols>
  <sheetData>
    <row r="1" ht="36" customHeight="1">
      <c r="A1" s="2" t="inlineStr">
        <is>
          <t>Campo</t>
        </is>
      </c>
      <c r="B1" s="2" t="inlineStr">
        <is>
          <t>Valor</t>
        </is>
      </c>
      <c r="C1" s="2" t="inlineStr">
        <is>
          <t>Fuente</t>
        </is>
      </c>
    </row>
    <row r="2" ht="42" customHeight="1">
      <c r="A2" s="3" t="inlineStr">
        <is>
          <t>Nombre</t>
        </is>
      </c>
      <c r="B2" s="3" t="inlineStr">
        <is>
          <t>Calzatura Vilchez — IRE + Demand Forecast</t>
        </is>
      </c>
      <c r="C2" s="3" t="inlineStr">
        <is>
          <t>07-modulo-ia</t>
        </is>
      </c>
    </row>
    <row r="3" ht="42" customHeight="1">
      <c r="A3" s="4" t="inlineStr">
        <is>
          <t>Versión modelo</t>
        </is>
      </c>
      <c r="B3" s="4" t="inlineStr">
        <is>
          <t>1.9.0 / gobierno 1.2</t>
        </is>
      </c>
      <c r="C3" s="4" t="inlineStr">
        <is>
          <t>modelo_estado.version</t>
        </is>
      </c>
    </row>
    <row r="4" ht="42" customHeight="1">
      <c r="A4" s="3" t="inlineStr">
        <is>
          <t>Tipo</t>
        </is>
      </c>
      <c r="B4" s="3" t="inlineStr">
        <is>
          <t>RandomForestRegressor (demanda) + índice compuesto IRE (reglas)</t>
        </is>
      </c>
      <c r="C4" s="3" t="inlineStr">
        <is>
          <t>ai-service/models/</t>
        </is>
      </c>
    </row>
    <row r="5" ht="42" customHeight="1">
      <c r="A5" s="4" t="inlineStr">
        <is>
          <t>Propósito</t>
        </is>
      </c>
      <c r="B5" s="4" t="inlineStr">
        <is>
          <t>Predicción demanda/ingresos y riesgo comercial-operativo 0-100</t>
        </is>
      </c>
      <c r="C5" s="4" t="inlineStr">
        <is>
          <t>Título tesis</t>
        </is>
      </c>
    </row>
    <row r="6" ht="42" customHeight="1">
      <c r="A6" s="3" t="inlineStr">
        <is>
          <t>Datos entrenamiento</t>
        </is>
      </c>
      <c r="B6" s="3" t="inlineStr">
        <is>
          <t>ventasDiarias, pedidos pagados, productos (Supabase)</t>
        </is>
      </c>
      <c r="C6" s="3" t="inlineStr">
        <is>
          <t>§5 07-modulo-ia</t>
        </is>
      </c>
    </row>
    <row r="7" ht="42" customHeight="1">
      <c r="A7" s="4" t="inlineStr">
        <is>
          <t>Métricas</t>
        </is>
      </c>
      <c r="B7" s="4" t="inlineStr">
        <is>
          <t>MAPE, RMSE backtest; gates ai-backtest-gate.mjs</t>
        </is>
      </c>
      <c r="C7" s="4" t="inlineStr">
        <is>
          <t>evaluate.py</t>
        </is>
      </c>
    </row>
    <row r="8" ht="42" customHeight="1">
      <c r="A8" s="3" t="inlineStr">
        <is>
          <t>Limitaciones</t>
        </is>
      </c>
      <c r="B8" s="3" t="inlineStr">
        <is>
          <t>No predice quiebra financiera Altman; alcance PYME Huancayo</t>
        </is>
      </c>
      <c r="C8" s="3" t="inlineStr">
        <is>
          <t>§1 matiz IRE</t>
        </is>
      </c>
    </row>
    <row r="9" ht="42" customHeight="1">
      <c r="A9" s="4" t="inlineStr">
        <is>
          <t>Supervisión humana</t>
        </is>
      </c>
      <c r="B9" s="4" t="inlineStr">
        <is>
          <t>Admin confirma campañas; dirección interpreta IRE</t>
        </is>
      </c>
      <c r="C9" s="4" t="inlineStr">
        <is>
          <t>campaign feedback API</t>
        </is>
      </c>
    </row>
    <row r="10" ht="42" customHeight="1">
      <c r="A10" s="3" t="inlineStr">
        <is>
          <t>Actualización</t>
        </is>
      </c>
      <c r="B10" s="3" t="inlineStr">
        <is>
          <t>Reentrenamiento bajo demanda; historial ireHistorial</t>
        </is>
      </c>
      <c r="C10" s="3" t="inlineStr">
        <is>
          <t>save_modelo_estado</t>
        </is>
      </c>
    </row>
    <row r="11" ht="42" customHeight="1">
      <c r="A11" s="4" t="inlineStr">
        <is>
          <t>Contacto</t>
        </is>
      </c>
      <c r="B11" s="4" t="inlineStr">
        <is>
          <t>Serpa Sedano Yeferson Wilson / Calzatura Vilchez</t>
        </is>
      </c>
      <c r="C11" s="4" t="inlineStr">
        <is>
          <t>CU-T01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52" customWidth="1" min="4" max="4"/>
    <col width="18" customWidth="1" min="5" max="5"/>
  </cols>
  <sheetData>
    <row r="1" ht="36" customHeight="1">
      <c r="A1" s="2" t="inlineStr">
        <is>
          <t>Version_web</t>
        </is>
      </c>
      <c r="B1" s="2" t="inlineStr">
        <is>
          <t>Fecha_release</t>
        </is>
      </c>
      <c r="C1" s="2" t="inlineStr">
        <is>
          <t>Nombre_release</t>
        </is>
      </c>
      <c r="D1" s="2" t="inlineStr">
        <is>
          <t>Cambios_principales</t>
        </is>
      </c>
      <c r="E1" s="2" t="inlineStr">
        <is>
          <t>Macroprocesos_afectados</t>
        </is>
      </c>
    </row>
    <row r="2" ht="42" customHeight="1">
      <c r="A2" s="3" t="inlineStr">
        <is>
          <t>1.0.0</t>
        </is>
      </c>
      <c r="B2" s="3" t="inlineStr">
        <is>
          <t>2026-05-01</t>
        </is>
      </c>
      <c r="C2" s="3" t="inlineStr">
        <is>
          <t>Bootstrap</t>
        </is>
      </c>
      <c r="D2" s="3" t="inlineStr">
        <is>
          <t>Catálogo, auth Firebase, pedidos base, Supabase create_all_tables.</t>
        </is>
      </c>
      <c r="E2" s="3" t="inlineStr">
        <is>
          <t>MP-01..06</t>
        </is>
      </c>
    </row>
    <row r="3" ht="42" customHeight="1">
      <c r="A3" s="4" t="inlineStr">
        <is>
          <t>1.1.0</t>
        </is>
      </c>
      <c r="B3" s="4" t="inlineStr">
        <is>
          <t>2026-05-14</t>
        </is>
      </c>
      <c r="C3" s="4" t="inlineStr">
        <is>
          <t>Stock y ventas</t>
        </is>
      </c>
      <c r="D3" s="4" t="inlineStr">
        <is>
          <t>movimientos_stock, RPC registrar ingreso, ventas admin atómicas.</t>
        </is>
      </c>
      <c r="E3" s="4" t="inlineStr">
        <is>
          <t>MP-08, MP-11</t>
        </is>
      </c>
    </row>
    <row r="4" ht="42" customHeight="1">
      <c r="A4" s="3" t="inlineStr">
        <is>
          <t>1.2.0</t>
        </is>
      </c>
      <c r="B4" s="3" t="inlineStr">
        <is>
          <t>2026-05-16</t>
        </is>
      </c>
      <c r="C4" s="3" t="inlineStr">
        <is>
          <t>Datos comerciales IA</t>
        </is>
      </c>
      <c r="D4" s="3" t="inlineStr">
        <is>
          <t>ventasDiarias BFF-only, ireHistorial extendido, grants lectura.</t>
        </is>
      </c>
      <c r="E4" s="3" t="inlineStr">
        <is>
          <t>MP-12, MP-08</t>
        </is>
      </c>
    </row>
    <row r="5" ht="42" customHeight="1">
      <c r="A5" s="4" t="inlineStr">
        <is>
          <t>1.3.0</t>
        </is>
      </c>
      <c r="B5" s="4" t="inlineStr">
        <is>
          <t>2026-05-19</t>
        </is>
      </c>
      <c r="C5" s="4" t="inlineStr">
        <is>
          <t>Pedidos hardened</t>
        </is>
      </c>
      <c r="D5" s="4" t="inlineStr">
        <is>
          <t>RLS pedidos/usuarios, idempotency_key, admin sales atomic.</t>
        </is>
      </c>
      <c r="E5" s="4" t="inlineStr">
        <is>
          <t>MP-05, MP-07</t>
        </is>
      </c>
    </row>
    <row r="6" ht="42" customHeight="1">
      <c r="A6" s="3" t="inlineStr">
        <is>
          <t>1.4.0</t>
        </is>
      </c>
      <c r="B6" s="3" t="inlineStr">
        <is>
          <t>2026-05-22</t>
        </is>
      </c>
      <c r="C6" s="3" t="inlineStr">
        <is>
          <t>Roles y auditoría</t>
        </is>
      </c>
      <c r="D6" s="3" t="inlineStr">
        <is>
          <t>tighten usuario_roles, harden auditoría service_role.</t>
        </is>
      </c>
      <c r="E6" s="3" t="inlineStr">
        <is>
          <t>MP-10, MP-06</t>
        </is>
      </c>
    </row>
    <row r="7" ht="42" customHeight="1">
      <c r="A7" s="4" t="inlineStr">
        <is>
          <t>1.5.0</t>
        </is>
      </c>
      <c r="B7" s="4" t="inlineStr">
        <is>
          <t>2026-05-26</t>
        </is>
      </c>
      <c r="C7" s="4" t="inlineStr">
        <is>
          <t>Legal Perú</t>
        </is>
      </c>
      <c r="D7" s="4" t="inlineStr">
        <is>
          <t>libro_reclamaciones virtual, cookies, términos Ley 29571/29733.</t>
        </is>
      </c>
      <c r="E7" s="4" t="inlineStr">
        <is>
          <t>MP-15, MP-16</t>
        </is>
      </c>
    </row>
    <row r="8" ht="42" customHeight="1">
      <c r="A8" s="3" t="inlineStr">
        <is>
          <t>1.6.0</t>
        </is>
      </c>
      <c r="B8" s="3" t="inlineStr">
        <is>
          <t>2026-05-31</t>
        </is>
      </c>
      <c r="C8" s="3" t="inlineStr">
        <is>
          <t>Supabase hardening</t>
        </is>
      </c>
      <c r="D8" s="3" t="inlineStr">
        <is>
          <t>linter remediation v1/v2, usuarios_seguro invoker, retención datos.</t>
        </is>
      </c>
      <c r="E8" s="3" t="inlineStr">
        <is>
          <t>MP-11, MP-10</t>
        </is>
      </c>
    </row>
    <row r="9" ht="42" customHeight="1">
      <c r="A9" s="4" t="inlineStr">
        <is>
          <t>1.7.0</t>
        </is>
      </c>
      <c r="B9" s="4" t="inlineStr">
        <is>
          <t>2026-06-08</t>
        </is>
      </c>
      <c r="C9" s="4" t="inlineStr">
        <is>
          <t>IA campañas</t>
        </is>
      </c>
      <c r="D9" s="4" t="inlineStr">
        <is>
          <t>campanas_detectadas v2, modelo_estado, feedback humano campaña.</t>
        </is>
      </c>
      <c r="E9" s="4" t="inlineStr">
        <is>
          <t>MP-12, MP-14</t>
        </is>
      </c>
    </row>
    <row r="10" ht="42" customHeight="1">
      <c r="A10" s="3" t="inlineStr">
        <is>
          <t>1.8.0</t>
        </is>
      </c>
      <c r="B10" s="3" t="inlineStr">
        <is>
          <t>2026-06-12</t>
        </is>
      </c>
      <c r="C10" s="3" t="inlineStr">
        <is>
          <t>Admin pedidos UX</t>
        </is>
      </c>
      <c r="D10" s="3" t="inlineStr">
        <is>
          <t>mapa entrega admin, buscador/paginación pedidos, datos cliente completos.</t>
        </is>
      </c>
      <c r="E10" s="3" t="inlineStr">
        <is>
          <t>MP-05, MP-04, MP-07</t>
        </is>
      </c>
    </row>
    <row r="11" ht="42" customHeight="1">
      <c r="A11" s="4" t="inlineStr">
        <is>
          <t>1.9.0</t>
        </is>
      </c>
      <c r="B11" s="4" t="inlineStr">
        <is>
          <t>2026-06-16</t>
        </is>
      </c>
      <c r="C11" s="4" t="inlineStr">
        <is>
          <t>ISO 25000 + QC</t>
        </is>
      </c>
      <c r="D11" s="4" t="inlineStr">
        <is>
          <t>PKCS#7 no repudio, qc_* adecuación funcional, mantenibilidad 100%, portabilidad gates.</t>
        </is>
      </c>
      <c r="E11" s="4" t="inlineStr">
        <is>
          <t>MP-10, MP-11, MP-13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2026-05-31T23:47:02Z</dcterms:created>
  <dcterms:modified xmlns:dcterms="http://purl.org/dc/terms/" xmlns:xsi="http://www.w3.org/2001/XMLSchema-instance" xsi:type="dcterms:W3CDTF">2026-06-20T01:00:11Z</dcterms:modified>
</cp:coreProperties>
</file>