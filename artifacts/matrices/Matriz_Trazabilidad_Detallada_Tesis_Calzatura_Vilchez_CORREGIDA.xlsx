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TM_Detallada" sheetId="2" state="visible" r:id="rId2"/>
    <sheet xmlns:r="http://schemas.openxmlformats.org/officeDocument/2006/relationships" name="Procesos_42" sheetId="3" state="visible" r:id="rId3"/>
    <sheet xmlns:r="http://schemas.openxmlformats.org/officeDocument/2006/relationships" name="Casos_Uso" sheetId="4" state="visible" r:id="rId4"/>
    <sheet xmlns:r="http://schemas.openxmlformats.org/officeDocument/2006/relationships" name="Casos_Prueba" sheetId="5" state="visible" r:id="rId5"/>
    <sheet xmlns:r="http://schemas.openxmlformats.org/officeDocument/2006/relationships" name="Auditoria_Codigo" sheetId="6" state="visible" r:id="rId6"/>
    <sheet xmlns:r="http://schemas.openxmlformats.org/officeDocument/2006/relationships" name="Referencias_ISO690_2" sheetId="7" state="visible" r:id="rId7"/>
    <sheet xmlns:r="http://schemas.openxmlformats.org/officeDocument/2006/relationships" name="Catalogos" sheetId="8" state="visible" r:id="rId8"/>
  </sheets>
  <definedNames>
    <definedName name="_xlnm._FilterDatabase" localSheetId="1" hidden="1">'RTM_Detallada'!$A$1:$X$56</definedName>
    <definedName name="_xlnm._FilterDatabase" localSheetId="2" hidden="1">'Procesos_42'!$A$1:$I$43</definedName>
    <definedName name="_xlnm._FilterDatabase" localSheetId="3" hidden="1">'Casos_Uso'!$A$1:$I$56</definedName>
    <definedName name="_xlnm._FilterDatabase" localSheetId="4" hidden="1">'Casos_Prueba'!$A$1:$K$56</definedName>
    <definedName name="_xlnm._FilterDatabase" localSheetId="5" hidden="1">'Auditoria_Codigo'!$A$1:$I$56</definedName>
    <definedName name="_xlnm._FilterDatabase" localSheetId="6" hidden="1">'Referencias_ISO690_2'!$A$1:$C$13</definedName>
    <definedName name="_xlnm._FilterDatabase" localSheetId="7" hidden="1">'Catalogos'!$A$1:$B$21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9"/>
      </patternFill>
    </fill>
    <fill>
      <patternFill patternType="solid">
        <fgColor rgb="00B7E1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  <col width="42" customWidth="1" min="3" max="3"/>
    <col width="18" customWidth="1" min="4" max="4"/>
  </cols>
  <sheetData>
    <row r="1">
      <c r="A1" s="1" t="inlineStr">
        <is>
          <t>Matriz de Trazabilidad de Requisitos — Calzatura Vilchez</t>
        </is>
      </c>
      <c r="B1" s="1" t="n"/>
      <c r="C1" s="1" t="n"/>
      <c r="D1" s="1" t="n"/>
    </row>
    <row r="2">
      <c r="A2" s="2" t="inlineStr">
        <is>
          <t>Sistema web de comercio electrónico con modelo de IA para predicción de riesgo empresarial | Versión corregida 3.0 | 30/05/2026</t>
        </is>
      </c>
      <c r="B2" s="2" t="n"/>
      <c r="C2" s="2" t="n"/>
      <c r="D2" s="2" t="n"/>
    </row>
    <row r="3">
      <c r="A3" s="3" t="inlineStr">
        <is>
          <t>Indicador</t>
        </is>
      </c>
      <c r="B3" s="3" t="inlineStr">
        <is>
          <t>Valor</t>
        </is>
      </c>
      <c r="C3" s="3" t="inlineStr">
        <is>
          <t>Criterio de interpretación</t>
        </is>
      </c>
      <c r="D3" s="3" t="inlineStr">
        <is>
          <t>Estado</t>
        </is>
      </c>
    </row>
    <row r="4">
      <c r="A4" s="3" t="inlineStr">
        <is>
          <t>Total de requisitos</t>
        </is>
      </c>
      <c r="B4" s="3">
        <f>COUNTA(RTM_Detallada!A2:A200)</f>
        <v/>
      </c>
      <c r="C4" s="3" t="inlineStr">
        <is>
          <t>Incluye RF y RNF vigentes</t>
        </is>
      </c>
      <c r="D4" s="3" t="inlineStr">
        <is>
          <t>Control</t>
        </is>
      </c>
    </row>
    <row r="5">
      <c r="A5" s="3" t="inlineStr">
        <is>
          <t>Requisitos funcionales</t>
        </is>
      </c>
      <c r="B5" s="3">
        <f>COUNTIF(RTM_Detallada!B2:B200,"Funcional")</f>
        <v/>
      </c>
      <c r="C5" s="3" t="inlineStr">
        <is>
          <t>Cobertura funcional web</t>
        </is>
      </c>
      <c r="D5" s="3" t="inlineStr">
        <is>
          <t>Control</t>
        </is>
      </c>
    </row>
    <row r="6">
      <c r="A6" s="3" t="inlineStr">
        <is>
          <t>Requisitos no funcionales</t>
        </is>
      </c>
      <c r="B6" s="3">
        <f>COUNTIF(RTM_Detallada!B2:B200,"No funcional")</f>
        <v/>
      </c>
      <c r="C6" s="3" t="inlineStr">
        <is>
          <t>Calidad, seguridad, IA, continuidad y rendimiento</t>
        </is>
      </c>
      <c r="D6" s="3" t="inlineStr">
        <is>
          <t>Control</t>
        </is>
      </c>
    </row>
    <row r="7">
      <c r="A7" s="3" t="inlineStr">
        <is>
          <t>Prioridad alta</t>
        </is>
      </c>
      <c r="B7" s="3">
        <f>COUNTIF(RTM_Detallada!G2:G200,"Alta")</f>
        <v/>
      </c>
      <c r="C7" s="3" t="inlineStr">
        <is>
          <t>Procesos críticos</t>
        </is>
      </c>
      <c r="D7" s="3" t="inlineStr">
        <is>
          <t>Control</t>
        </is>
      </c>
    </row>
    <row r="8">
      <c r="A8" s="3" t="inlineStr">
        <is>
          <t>Implementados</t>
        </is>
      </c>
      <c r="B8" s="3">
        <f>COUNTIF(RTM_Detallada!S2:S200,"Implementado")</f>
        <v/>
      </c>
      <c r="C8" s="3" t="inlineStr">
        <is>
          <t>Debe coincidir con total</t>
        </is>
      </c>
      <c r="D8" s="4" t="inlineStr">
        <is>
          <t>VERDE</t>
        </is>
      </c>
    </row>
    <row r="9">
      <c r="A9" s="3" t="inlineStr">
        <is>
          <t>Pruebas ejecutadas</t>
        </is>
      </c>
      <c r="B9" s="3">
        <f>COUNTIF(RTM_Detallada!T2:T200,"Ejecutado")</f>
        <v/>
      </c>
      <c r="C9" s="3" t="inlineStr">
        <is>
          <t>Debe coincidir con total</t>
        </is>
      </c>
      <c r="D9" s="4" t="inlineStr">
        <is>
          <t>VERDE</t>
        </is>
      </c>
    </row>
    <row r="10">
      <c r="A10" s="3" t="inlineStr">
        <is>
          <t>Revisiones de código verificadas</t>
        </is>
      </c>
      <c r="B10" s="3">
        <f>COUNTIF(Auditoria_Codigo!G2:G200,"Verificado en repositorio")</f>
        <v/>
      </c>
      <c r="C10" s="3" t="inlineStr">
        <is>
          <t>Debe coincidir con auditoría</t>
        </is>
      </c>
      <c r="D10" s="4" t="inlineStr">
        <is>
          <t>VERDE</t>
        </is>
      </c>
    </row>
    <row r="11">
      <c r="A11" s="3" t="inlineStr">
        <is>
          <t>Procesos trazados</t>
        </is>
      </c>
      <c r="B11" s="3">
        <f>COUNTA(Procesos_42!A2:A200)</f>
        <v/>
      </c>
      <c r="C11" s="3" t="inlineStr">
        <is>
          <t>Debe cubrir 42 procesos</t>
        </is>
      </c>
      <c r="D11" s="4" t="inlineStr">
        <is>
          <t>VERDE</t>
        </is>
      </c>
    </row>
    <row r="12">
      <c r="A12" s="3" t="inlineStr">
        <is>
          <t>Casos de uso</t>
        </is>
      </c>
      <c r="B12" s="3">
        <f>COUNTA(Casos_Uso!A2:A200)</f>
        <v/>
      </c>
      <c r="C12" s="3" t="inlineStr">
        <is>
          <t>Debe cubrir todos los requisitos</t>
        </is>
      </c>
      <c r="D12" s="4" t="inlineStr">
        <is>
          <t>VERDE</t>
        </is>
      </c>
    </row>
    <row r="13">
      <c r="A13" s="3" t="inlineStr">
        <is>
          <t>Casos de prueba</t>
        </is>
      </c>
      <c r="B13" s="3">
        <f>COUNTA(Casos_Prueba!A2:A200)</f>
        <v/>
      </c>
      <c r="C13" s="3" t="inlineStr">
        <is>
          <t>Debe cubrir todos los requisitos</t>
        </is>
      </c>
      <c r="D13" s="4" t="inlineStr">
        <is>
          <t>VERDE</t>
        </is>
      </c>
    </row>
    <row r="14">
      <c r="A14" s="3" t="inlineStr">
        <is>
          <t>Cobertura implementación</t>
        </is>
      </c>
      <c r="B14" s="3">
        <f>B7/B4</f>
        <v/>
      </c>
      <c r="C14" s="3" t="inlineStr">
        <is>
          <t>&gt;= 90%</t>
        </is>
      </c>
      <c r="D14" s="3">
        <f>IF(B14&gt;=0.9,"APTO","REVISAR")</f>
        <v/>
      </c>
    </row>
    <row r="15">
      <c r="A15" s="3" t="inlineStr">
        <is>
          <t>Cobertura pruebas</t>
        </is>
      </c>
      <c r="B15" s="3">
        <f>B8/B4</f>
        <v/>
      </c>
      <c r="C15" s="3" t="inlineStr">
        <is>
          <t>&gt;= 90%</t>
        </is>
      </c>
      <c r="D15" s="3">
        <f>IF(B15&gt;=0.9,"APTO","REVISAR")</f>
        <v/>
      </c>
    </row>
    <row r="16">
      <c r="A16" s="3" t="inlineStr">
        <is>
          <t>Hallazgos críticos abiertos</t>
        </is>
      </c>
      <c r="B16" s="3" t="inlineStr">
        <is>
          <t>0</t>
        </is>
      </c>
      <c r="C16" s="3" t="inlineStr">
        <is>
          <t>Debe ser 0</t>
        </is>
      </c>
      <c r="D16" s="4" t="inlineStr">
        <is>
          <t>APTO</t>
        </is>
      </c>
    </row>
    <row r="17">
      <c r="A17" s="3" t="inlineStr">
        <is>
          <t>Seguridad dinámica</t>
        </is>
      </c>
      <c r="B17" s="3" t="inlineStr">
        <is>
          <t>ZAP producción v2: 0 altas, 3 medias, 3 bajas, 12 informativas; sin alertas altas/críticas.</t>
        </is>
      </c>
      <c r="C17" s="3" t="inlineStr">
        <is>
          <t>OWASP ZAP Docker</t>
        </is>
      </c>
      <c r="D17" s="4" t="inlineStr">
        <is>
          <t>VERDE</t>
        </is>
      </c>
    </row>
    <row r="18">
      <c r="A18" s="3" t="inlineStr">
        <is>
          <t>Estrés web</t>
        </is>
      </c>
      <c r="B18" s="3" t="inlineStr">
        <is>
          <t>2000 conexiones; 0 errores; 0 non-2xx; p99 359 ms</t>
        </is>
      </c>
      <c r="C18" s="3" t="inlineStr">
        <is>
          <t>autocannon home local</t>
        </is>
      </c>
      <c r="D18" s="4" t="inlineStr">
        <is>
          <t>VERDE</t>
        </is>
      </c>
    </row>
    <row r="19">
      <c r="A19" s="3" t="inlineStr">
        <is>
          <t>Carga mixta</t>
        </is>
      </c>
      <c r="B19" s="3" t="inlineStr">
        <is>
          <t>p95 catálogo 500 VUs 333.04 ms; p95 BFF 1000 VUs 1.07 ms</t>
        </is>
      </c>
      <c r="C19" s="3" t="inlineStr">
        <is>
          <t>k6 / escenarios versionados</t>
        </is>
      </c>
      <c r="D19" s="4" t="inlineStr">
        <is>
          <t>VERDE</t>
        </is>
      </c>
    </row>
    <row r="20">
      <c r="A20" s="3" t="inlineStr">
        <is>
          <t>Alcance controlado</t>
        </is>
      </c>
      <c r="B20" s="3" t="inlineStr">
        <is>
          <t>La matriz registra únicamente el sistema web comercial, sus servicios de soporte y evidencias técnicas verificables</t>
        </is>
      </c>
      <c r="C20" s="3" t="inlineStr">
        <is>
          <t>Alcance del proyecto</t>
        </is>
      </c>
      <c r="D20" s="3" t="inlineStr">
        <is>
          <t>Control</t>
        </is>
      </c>
    </row>
    <row r="21">
      <c r="A21" s="3" t="inlineStr">
        <is>
          <t>Responsable</t>
        </is>
      </c>
      <c r="B21" s="3" t="inlineStr">
        <is>
          <t>Serpa Sedano Yeferson Wilson</t>
        </is>
      </c>
      <c r="C21" s="3" t="inlineStr">
        <is>
          <t>Autor del proyecto</t>
        </is>
      </c>
      <c r="D21" s="3" t="inlineStr">
        <is>
          <t>Control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4" customWidth="1" min="4" max="4"/>
    <col width="62" customWidth="1" min="5" max="5"/>
    <col width="24" customWidth="1" min="6" max="6"/>
    <col width="12" customWidth="1" min="7" max="7"/>
    <col width="12" customWidth="1" min="8" max="8"/>
    <col width="12" customWidth="1" min="9" max="9"/>
    <col width="28" customWidth="1" min="10" max="10"/>
    <col width="55" customWidth="1" min="11" max="11"/>
    <col width="34" customWidth="1" min="12" max="12"/>
    <col width="34" customWidth="1" min="13" max="13"/>
    <col width="12" customWidth="1" min="14" max="14"/>
    <col width="24" customWidth="1" min="15" max="15"/>
    <col width="36" customWidth="1" min="16" max="16"/>
    <col width="42" customWidth="1" min="17" max="17"/>
    <col width="55" customWidth="1" min="18" max="18"/>
    <col width="18" customWidth="1" min="19" max="19"/>
    <col width="14" customWidth="1" min="20" max="20"/>
    <col width="48" customWidth="1" min="21" max="21"/>
    <col width="42" customWidth="1" min="22" max="22"/>
    <col width="42" customWidth="1" min="23" max="23"/>
    <col width="34" customWidth="1" min="24" max="24"/>
  </cols>
  <sheetData>
    <row r="1">
      <c r="A1" s="1" t="inlineStr">
        <is>
          <t>ID requisito</t>
        </is>
      </c>
      <c r="B1" s="1" t="inlineStr">
        <is>
          <t>Tipo</t>
        </is>
      </c>
      <c r="C1" s="1" t="inlineStr">
        <is>
          <t>Macroproceso</t>
        </is>
      </c>
      <c r="D1" s="1" t="inlineStr">
        <is>
          <t>Proceso relacionado</t>
        </is>
      </c>
      <c r="E1" s="1" t="inlineStr">
        <is>
          <t>Descripción del requisito</t>
        </is>
      </c>
      <c r="F1" s="1" t="inlineStr">
        <is>
          <t>Actor/Responsable</t>
        </is>
      </c>
      <c r="G1" s="1" t="inlineStr">
        <is>
          <t>Prioridad</t>
        </is>
      </c>
      <c r="H1" s="1" t="inlineStr">
        <is>
          <t>Objetivo tesis</t>
        </is>
      </c>
      <c r="I1" s="1" t="inlineStr">
        <is>
          <t>Caso de uso</t>
        </is>
      </c>
      <c r="J1" s="1" t="inlineStr">
        <is>
          <t>Componente/Pantalla</t>
        </is>
      </c>
      <c r="K1" s="1" t="inlineStr">
        <is>
          <t>Archivo o servicio técnico verificado</t>
        </is>
      </c>
      <c r="L1" s="1" t="inlineStr">
        <is>
          <t>Tablas BD relacionadas</t>
        </is>
      </c>
      <c r="M1" s="1" t="inlineStr">
        <is>
          <t>Endpoint/Servicio</t>
        </is>
      </c>
      <c r="N1" s="1" t="inlineStr">
        <is>
          <t>Caso de prueba</t>
        </is>
      </c>
      <c r="O1" s="1" t="inlineStr">
        <is>
          <t>Tipo de prueba</t>
        </is>
      </c>
      <c r="P1" s="1" t="inlineStr">
        <is>
          <t>Datos de entrada</t>
        </is>
      </c>
      <c r="Q1" s="1" t="inlineStr">
        <is>
          <t>Resultado esperado</t>
        </is>
      </c>
      <c r="R1" s="1" t="inlineStr">
        <is>
          <t>Evidencia mínima</t>
        </is>
      </c>
      <c r="S1" s="1" t="inlineStr">
        <is>
          <t>Estado implementación</t>
        </is>
      </c>
      <c r="T1" s="1" t="inlineStr">
        <is>
          <t>Estado prueba</t>
        </is>
      </c>
      <c r="U1" s="1" t="inlineStr">
        <is>
          <t>Criterio de aceptación</t>
        </is>
      </c>
      <c r="V1" s="1" t="inlineStr">
        <is>
          <t>Observación técnica</t>
        </is>
      </c>
      <c r="W1" s="1" t="inlineStr">
        <is>
          <t>Riesgo si falla</t>
        </is>
      </c>
      <c r="X1" s="1" t="inlineStr">
        <is>
          <t>Sustento ISO / bibliográfico</t>
        </is>
      </c>
    </row>
    <row r="2">
      <c r="A2" s="3" t="inlineStr">
        <is>
          <t>RNF-001</t>
        </is>
      </c>
      <c r="B2" s="3" t="inlineStr">
        <is>
          <t>No funcional</t>
        </is>
      </c>
      <c r="C2" s="3" t="inlineStr">
        <is>
          <t>MP-01 — Gestión estratégica y diagnóstico digital</t>
        </is>
      </c>
      <c r="D2" s="3" t="inlineStr">
        <is>
          <t>P-002</t>
        </is>
      </c>
      <c r="E2" s="3" t="inlineStr">
        <is>
          <t>Definir el sistema web de comercio electrónico y gestión administrativa de Calzatura Vilchez, incluyendo tienda pública, catálogo, carrito, checkout, pedidos, ventas físicas, Excel, auditoría, IA, BFF, Supabase, Docker, CI/CD y seguridad.</t>
        </is>
      </c>
      <c r="F2" s="3" t="inlineStr">
        <is>
          <t>Administrador / Servicio IA</t>
        </is>
      </c>
      <c r="G2" s="3" t="inlineStr">
        <is>
          <t>Alta</t>
        </is>
      </c>
      <c r="H2" s="3" t="inlineStr">
        <is>
          <t>OE3</t>
        </is>
      </c>
      <c r="I2" s="3" t="inlineStr">
        <is>
          <t>CU-001</t>
        </is>
      </c>
      <c r="J2" s="3" t="inlineStr">
        <is>
          <t>Sistema web / arquitectura general</t>
        </is>
      </c>
      <c r="K2" s="3" t="inlineStr">
        <is>
          <t>calzatura-vilchez/README.md:1; documentacion/05-especificacion-requisitos-software-SRS.md:1; calzatura-vilchez/src/domains/README.md:1</t>
        </is>
      </c>
      <c r="L2" s="3" t="inlineStr">
        <is>
          <t>pedidos</t>
        </is>
      </c>
      <c r="M2" s="3" t="inlineStr">
        <is>
          <t>POST /createOrder; GET /myOrders; GET /admin/orders</t>
        </is>
      </c>
      <c r="N2" s="3" t="inlineStr">
        <is>
          <t>CP-001</t>
        </is>
      </c>
      <c r="O2" s="3" t="inlineStr">
        <is>
          <t>Integración / seguridad</t>
        </is>
      </c>
      <c r="P2" s="3" t="inlineStr">
        <is>
          <t>Carrito, dirección, método de pago, stock, precio e idempotency key</t>
        </is>
      </c>
      <c r="Q2" s="3" t="inlineStr">
        <is>
          <t>Sistema web / arquitectura general queda operativo, protegido y trazable según BOLT-WEB-001.</t>
        </is>
      </c>
      <c r="R2" s="3" t="inlineStr">
        <is>
          <t>calzatura-vilchez/README.md:1; documentacion/05-especificacion-requisitos-software-SRS.md:1; calzatura-vilchez/src/domains/README.md:1</t>
        </is>
      </c>
      <c r="S2" s="5" t="inlineStr">
        <is>
          <t>Implementado</t>
        </is>
      </c>
      <c r="T2" s="5" t="inlineStr">
        <is>
          <t>Ejecutado</t>
        </is>
      </c>
      <c r="U2" s="3" t="inlineStr">
        <is>
          <t>El requisito se considera aceptado cuando la funcionalidad ejecuta el flujo esperado, mantiene integridad de datos, respeta permisos y cuenta con evidencia técnica en código/pruebas.</t>
        </is>
      </c>
      <c r="V2" s="3" t="inlineStr">
        <is>
          <t>Validado contra matriz BOLT BOLT-WEB-001 y evidencia del repositorio.</t>
        </is>
      </c>
      <c r="W2" s="3" t="inlineStr">
        <is>
          <t>Pérdida de trazabilidad, falla funcional, exposición de datos o interrupción operativa según el módulo afectado.</t>
        </is>
      </c>
      <c r="X2" s="3" t="inlineStr">
        <is>
          <t>ISO/IEC 25010 / ISO/IEC 27001 / ISO/IEC 25012 / ISO/IEC 42001</t>
        </is>
      </c>
    </row>
    <row r="3">
      <c r="A3" s="3" t="inlineStr">
        <is>
          <t>RF-001</t>
        </is>
      </c>
      <c r="B3" s="3" t="inlineStr">
        <is>
          <t>Funcional</t>
        </is>
      </c>
      <c r="C3" s="3" t="inlineStr">
        <is>
          <t>MP-02 — Experiencia pública y captación digital</t>
        </is>
      </c>
      <c r="D3" s="3" t="inlineStr">
        <is>
          <t>P-003</t>
        </is>
      </c>
      <c r="E3" s="3" t="inlineStr">
        <is>
          <t>Implementar una página de inicio comercial con hero, promociones, imágenes, productos destacados y navegación hacia el catálogo.</t>
        </is>
      </c>
      <c r="F3" s="3" t="inlineStr">
        <is>
          <t>Administrador / Servicio IA</t>
        </is>
      </c>
      <c r="G3" s="3" t="inlineStr">
        <is>
          <t>Alta</t>
        </is>
      </c>
      <c r="H3" s="3" t="inlineStr">
        <is>
          <t>OE3</t>
        </is>
      </c>
      <c r="I3" s="3" t="inlineStr">
        <is>
          <t>CU-002</t>
        </is>
      </c>
      <c r="J3" s="3" t="inlineStr">
        <is>
          <t>Público / Home</t>
        </is>
      </c>
      <c r="K3" s="3" t="inlineStr">
        <is>
          <t>calzatura-vilchez/src/domains/publico/components/HomeHeroSection.tsx:40; calzatura-vilchez/src/domains/publico/components/HomeHeroSection.tsx:278; calzatura-vilchez/src/domains/publico/pages/HomePage.tsx:322</t>
        </is>
      </c>
      <c r="L3" s="3" t="inlineStr">
        <is>
          <t>productos, productoCodigos, productoFinanzas</t>
        </is>
      </c>
      <c r="M3" s="3" t="inlineStr">
        <is>
          <t>GET /admin/products; POST /updateProductAtomic</t>
        </is>
      </c>
      <c r="N3" s="3" t="inlineStr">
        <is>
          <t>CP-002</t>
        </is>
      </c>
      <c r="O3" s="3" t="inlineStr">
        <is>
          <t>Modelo IA / integración</t>
        </is>
      </c>
      <c r="P3" s="3" t="inlineStr">
        <is>
          <t>Datos de producto, talla, color, stock, categoría, precio y código</t>
        </is>
      </c>
      <c r="Q3" s="3" t="inlineStr">
        <is>
          <t>Público / Home queda operativo, protegido y trazable según BOLT-WEB-002.</t>
        </is>
      </c>
      <c r="R3" s="3" t="inlineStr">
        <is>
          <t>calzatura-vilchez/src/domains/publico/components/HomeHeroSection.tsx:40; calzatura-vilchez/src/domains/publico/components/HomeHeroSection.tsx:278; calzatura-vilchez/src/domains/publico/pages/HomePage.tsx:322</t>
        </is>
      </c>
      <c r="S3" s="5" t="inlineStr">
        <is>
          <t>Implementado</t>
        </is>
      </c>
      <c r="T3" s="5" t="inlineStr">
        <is>
          <t>Ejecutado</t>
        </is>
      </c>
      <c r="U3" s="3" t="inlineStr">
        <is>
          <t>El requisito se considera aceptado cuando la funcionalidad ejecuta el flujo esperado, mantiene integridad de datos, respeta permisos y cuenta con evidencia técnica en código/pruebas.</t>
        </is>
      </c>
      <c r="V3" s="3" t="inlineStr">
        <is>
          <t>Validado contra matriz BOLT BOLT-WEB-002 y evidencia del repositorio.</t>
        </is>
      </c>
      <c r="W3" s="3" t="inlineStr">
        <is>
          <t>Pérdida de trazabilidad, falla funcional, exposición de datos o interrupción operativa según el módulo afectado.</t>
        </is>
      </c>
      <c r="X3" s="3" t="inlineStr">
        <is>
          <t>ISO/IEC 25010 / ISO/IEC 25012 / ISO/IEC 42001</t>
        </is>
      </c>
    </row>
    <row r="4">
      <c r="A4" s="3" t="inlineStr">
        <is>
          <t>RF-002</t>
        </is>
      </c>
      <c r="B4" s="3" t="inlineStr">
        <is>
          <t>Funcional</t>
        </is>
      </c>
      <c r="C4" s="3" t="inlineStr">
        <is>
          <t>MP-03 — Gestión de productos y catálogo digital</t>
        </is>
      </c>
      <c r="D4" s="3" t="inlineStr">
        <is>
          <t>P-006</t>
        </is>
      </c>
      <c r="E4" s="3" t="inlineStr">
        <is>
          <t>Permitir que el cliente explore productos activos, filtre por criterios comerciales y navegue al detalle del calzado.</t>
        </is>
      </c>
      <c r="F4" s="3" t="inlineStr">
        <is>
          <t>Administrador / Servicio IA</t>
        </is>
      </c>
      <c r="G4" s="3" t="inlineStr">
        <is>
          <t>Alta</t>
        </is>
      </c>
      <c r="H4" s="3" t="inlineStr">
        <is>
          <t>OE3</t>
        </is>
      </c>
      <c r="I4" s="3" t="inlineStr">
        <is>
          <t>CU-003</t>
        </is>
      </c>
      <c r="J4" s="3" t="inlineStr">
        <is>
          <t>Catálogo / Productos</t>
        </is>
      </c>
      <c r="K4" s="3" t="inlineStr">
        <is>
          <t>calzatura-vilchez/src/domains/productos/pages/ProductsPage.tsx:1; calzatura-vilchez/src/domains/productos/services/products.ts:1; calzatura-vilchez/e2e/catalog-filter-marca.spec.ts:81</t>
        </is>
      </c>
      <c r="L4" s="3" t="inlineStr">
        <is>
          <t>productos, productoCodigos, productoFinanzas</t>
        </is>
      </c>
      <c r="M4" s="3" t="inlineStr">
        <is>
          <t>GET /admin/products; POST /updateProductAtomic</t>
        </is>
      </c>
      <c r="N4" s="3" t="inlineStr">
        <is>
          <t>CP-003</t>
        </is>
      </c>
      <c r="O4" s="3" t="inlineStr">
        <is>
          <t>Modelo IA / integración</t>
        </is>
      </c>
      <c r="P4" s="3" t="inlineStr">
        <is>
          <t>Datos de producto, talla, color, stock, categoría, precio y código</t>
        </is>
      </c>
      <c r="Q4" s="3" t="inlineStr">
        <is>
          <t>Catálogo / Productos queda operativo, protegido y trazable según BOLT-WEB-003.</t>
        </is>
      </c>
      <c r="R4" s="3" t="inlineStr">
        <is>
          <t>calzatura-vilchez/src/domains/productos/pages/ProductsPage.tsx:1; calzatura-vilchez/src/domains/productos/services/products.ts:1; calzatura-vilchez/e2e/catalog-filter-marca.spec.ts:81</t>
        </is>
      </c>
      <c r="S4" s="5" t="inlineStr">
        <is>
          <t>Implementado</t>
        </is>
      </c>
      <c r="T4" s="5" t="inlineStr">
        <is>
          <t>Ejecutado</t>
        </is>
      </c>
      <c r="U4" s="3" t="inlineStr">
        <is>
          <t>El requisito se considera aceptado cuando la funcionalidad ejecuta el flujo esperado, mantiene integridad de datos, respeta permisos y cuenta con evidencia técnica en código/pruebas.</t>
        </is>
      </c>
      <c r="V4" s="3" t="inlineStr">
        <is>
          <t>Validado contra matriz BOLT BOLT-WEB-003 y evidencia del repositorio.</t>
        </is>
      </c>
      <c r="W4" s="3" t="inlineStr">
        <is>
          <t>Pérdida de trazabilidad, falla funcional, exposición de datos o interrupción operativa según el módulo afectado.</t>
        </is>
      </c>
      <c r="X4" s="3" t="inlineStr">
        <is>
          <t>ISO/IEC 25010 / ISO/IEC 25012 / ISO/IEC 42001</t>
        </is>
      </c>
    </row>
    <row r="5">
      <c r="A5" s="3" t="inlineStr">
        <is>
          <t>RF-003</t>
        </is>
      </c>
      <c r="B5" s="3" t="inlineStr">
        <is>
          <t>Funcional</t>
        </is>
      </c>
      <c r="C5" s="3" t="inlineStr">
        <is>
          <t>MP-03 — Gestión de productos y catálogo digital</t>
        </is>
      </c>
      <c r="D5" s="3" t="inlineStr">
        <is>
          <t>P-008</t>
        </is>
      </c>
      <c r="E5" s="3" t="inlineStr">
        <is>
          <t>Corregir la tarjeta de producto para que no tenga controles interactivos anidados y permita selección accesible de talla, favorito y detalle.</t>
        </is>
      </c>
      <c r="F5" s="3" t="inlineStr">
        <is>
          <t>Administrador / Servicio IA</t>
        </is>
      </c>
      <c r="G5" s="3" t="inlineStr">
        <is>
          <t>Alta</t>
        </is>
      </c>
      <c r="H5" s="3" t="inlineStr">
        <is>
          <t>OE3</t>
        </is>
      </c>
      <c r="I5" s="3" t="inlineStr">
        <is>
          <t>CU-004</t>
        </is>
      </c>
      <c r="J5" s="3" t="inlineStr">
        <is>
          <t>Catálogo / ProductCard</t>
        </is>
      </c>
      <c r="K5" s="3" t="inlineStr">
        <is>
          <t>calzatura-vilchez/src/domains/productos/components/ProductCard.tsx:23; calzatura-vilchez/src/domains/productos/components/ProductCard.tsx:101; calzatura-vilchez/src/domains/productos/components/ProductCard.tsx:219; calzatura-vilchez/e2e/catalog-cart.spec.ts:35</t>
        </is>
      </c>
      <c r="L5" s="3" t="inlineStr">
        <is>
          <t>productos, productoCodigos, productoFinanzas</t>
        </is>
      </c>
      <c r="M5" s="3" t="inlineStr">
        <is>
          <t>GET /admin/products; POST /updateProductAtomic</t>
        </is>
      </c>
      <c r="N5" s="3" t="inlineStr">
        <is>
          <t>CP-004</t>
        </is>
      </c>
      <c r="O5" s="3" t="inlineStr">
        <is>
          <t>Modelo IA / integración</t>
        </is>
      </c>
      <c r="P5" s="3" t="inlineStr">
        <is>
          <t>Datos de producto, talla, color, stock, categoría, precio y código</t>
        </is>
      </c>
      <c r="Q5" s="3" t="inlineStr">
        <is>
          <t>Catálogo / ProductCard queda operativo, protegido y trazable según BOLT-WEB-004.</t>
        </is>
      </c>
      <c r="R5" s="3" t="inlineStr">
        <is>
          <t>calzatura-vilchez/src/domains/productos/components/ProductCard.tsx:23; calzatura-vilchez/src/domains/productos/components/ProductCard.tsx:101; calzatura-vilchez/src/domains/productos/components/ProductCard.tsx:219; calzatura-vilchez/e2e/catalog-cart.spec.ts:35</t>
        </is>
      </c>
      <c r="S5" s="5" t="inlineStr">
        <is>
          <t>Implementado</t>
        </is>
      </c>
      <c r="T5" s="5" t="inlineStr">
        <is>
          <t>Ejecutado</t>
        </is>
      </c>
      <c r="U5" s="3" t="inlineStr">
        <is>
          <t>El requisito se considera aceptado cuando la funcionalidad ejecuta el flujo esperado, mantiene integridad de datos, respeta permisos y cuenta con evidencia técnica en código/pruebas.</t>
        </is>
      </c>
      <c r="V5" s="3" t="inlineStr">
        <is>
          <t>Validado contra matriz BOLT BOLT-WEB-004 y evidencia del repositorio.</t>
        </is>
      </c>
      <c r="W5" s="3" t="inlineStr">
        <is>
          <t>Pérdida de trazabilidad, falla funcional, exposición de datos o interrupción operativa según el módulo afectado.</t>
        </is>
      </c>
      <c r="X5" s="3" t="inlineStr">
        <is>
          <t>ISO/IEC 25010 / ISO/IEC 25012 / ISO/IEC 42001</t>
        </is>
      </c>
    </row>
    <row r="6">
      <c r="A6" s="3" t="inlineStr">
        <is>
          <t>RF-004</t>
        </is>
      </c>
      <c r="B6" s="3" t="inlineStr">
        <is>
          <t>Funcional</t>
        </is>
      </c>
      <c r="C6" s="3" t="inlineStr">
        <is>
          <t>MP-04 — Gestión de carrito y compra web</t>
        </is>
      </c>
      <c r="D6" s="3" t="inlineStr">
        <is>
          <t>P-011</t>
        </is>
      </c>
      <c r="E6" s="3" t="inlineStr">
        <is>
          <t>Gestionar carrito de compra por sesión, evitando persistencia innecesaria de preferencias en equipos compartidos.</t>
        </is>
      </c>
      <c r="F6" s="3" t="inlineStr">
        <is>
          <t>Cliente</t>
        </is>
      </c>
      <c r="G6" s="3" t="inlineStr">
        <is>
          <t>Alta</t>
        </is>
      </c>
      <c r="H6" s="3" t="inlineStr">
        <is>
          <t>OE2</t>
        </is>
      </c>
      <c r="I6" s="3" t="inlineStr">
        <is>
          <t>CU-005</t>
        </is>
      </c>
      <c r="J6" s="3" t="inlineStr">
        <is>
          <t>Carrito</t>
        </is>
      </c>
      <c r="K6" s="3" t="inlineStr">
        <is>
          <t>calzatura-vilchez/src/domains/carrito/context/CartContext.tsx:37; calzatura-vilchez/src/domains/carrito/context/CartContext.tsx:71; calzatura-vilchez/src/domains/carrito/context/CartContext.tsx:92</t>
        </is>
      </c>
      <c r="L6" s="3" t="inlineStr">
        <is>
          <t>No aplica</t>
        </is>
      </c>
      <c r="M6" s="3" t="inlineStr">
        <is>
          <t>Frontend React / BFF según evidencia</t>
        </is>
      </c>
      <c r="N6" s="3" t="inlineStr">
        <is>
          <t>CP-005</t>
        </is>
      </c>
      <c r="O6" s="3" t="inlineStr">
        <is>
          <t>Modelo IA / integración</t>
        </is>
      </c>
      <c r="P6" s="3" t="inlineStr">
        <is>
          <t>Ventas, stock, productos, métricas, historial e indicadores agregados</t>
        </is>
      </c>
      <c r="Q6" s="3" t="inlineStr">
        <is>
          <t>Carrito queda operativo, protegido y trazable según BOLT-WEB-005.</t>
        </is>
      </c>
      <c r="R6" s="3" t="inlineStr">
        <is>
          <t>calzatura-vilchez/src/domains/carrito/context/CartContext.tsx:37; calzatura-vilchez/src/domains/carrito/context/CartContext.tsx:71; calzatura-vilchez/src/domains/carrito/context/CartContext.tsx:92</t>
        </is>
      </c>
      <c r="S6" s="5" t="inlineStr">
        <is>
          <t>Implementado</t>
        </is>
      </c>
      <c r="T6" s="5" t="inlineStr">
        <is>
          <t>Ejecutado</t>
        </is>
      </c>
      <c r="U6" s="3" t="inlineStr">
        <is>
          <t>El requisito se considera aceptado cuando la funcionalidad ejecuta el flujo esperado, mantiene integridad de datos, respeta permisos y cuenta con evidencia técnica en código/pruebas.</t>
        </is>
      </c>
      <c r="V6" s="3" t="inlineStr">
        <is>
          <t>Validado contra matriz BOLT BOLT-WEB-005 y evidencia del repositorio.</t>
        </is>
      </c>
      <c r="W6" s="3" t="inlineStr">
        <is>
          <t>Pérdida de trazabilidad, falla funcional, exposición de datos o interrupción operativa según el módulo afectado.</t>
        </is>
      </c>
      <c r="X6" s="3" t="inlineStr">
        <is>
          <t>ISO/IEC 25010 / ISO/IEC 42001</t>
        </is>
      </c>
    </row>
    <row r="7">
      <c r="A7" s="3" t="inlineStr">
        <is>
          <t>RF-005</t>
        </is>
      </c>
      <c r="B7" s="3" t="inlineStr">
        <is>
          <t>Funcional</t>
        </is>
      </c>
      <c r="C7" s="3" t="inlineStr">
        <is>
          <t>MP-04 — Gestión de carrito y compra web</t>
        </is>
      </c>
      <c r="D7" s="3" t="inlineStr">
        <is>
          <t>P-013</t>
        </is>
      </c>
      <c r="E7" s="3" t="inlineStr">
        <is>
          <t>Confirmar pedidos mediante checkout con validación de entrega, stock, precio, método de pago e idempotencia.</t>
        </is>
      </c>
      <c r="F7" s="3" t="inlineStr">
        <is>
          <t>Cliente</t>
        </is>
      </c>
      <c r="G7" s="3" t="inlineStr">
        <is>
          <t>Alta</t>
        </is>
      </c>
      <c r="H7" s="3" t="inlineStr">
        <is>
          <t>OE2</t>
        </is>
      </c>
      <c r="I7" s="3" t="inlineStr">
        <is>
          <t>CU-006</t>
        </is>
      </c>
      <c r="J7" s="3" t="inlineStr">
        <is>
          <t>Checkout</t>
        </is>
      </c>
      <c r="K7" s="3" t="inlineStr">
        <is>
          <t>calzatura-vilchez/src/domains/carrito/pages/CheckoutPage.tsx:40; calzatura-vilchez/src/domains/carrito/pages/CheckoutPage.tsx:53; calzatura-vilchez/src/domains/carrito/pages/CheckoutPage.tsx:152; calzatura-vilchez/e2e/checkout-cod-order.spec.ts:89</t>
        </is>
      </c>
      <c r="L7" s="3" t="inlineStr">
        <is>
          <t>pedidos</t>
        </is>
      </c>
      <c r="M7" s="3" t="inlineStr">
        <is>
          <t>POST /createOrder; GET /myOrders; GET /admin/orders</t>
        </is>
      </c>
      <c r="N7" s="3" t="inlineStr">
        <is>
          <t>CP-006</t>
        </is>
      </c>
      <c r="O7" s="3" t="inlineStr">
        <is>
          <t>Modelo IA / integración</t>
        </is>
      </c>
      <c r="P7" s="3" t="inlineStr">
        <is>
          <t>Carrito, dirección, método de pago, stock, precio e idempotency key</t>
        </is>
      </c>
      <c r="Q7" s="3" t="inlineStr">
        <is>
          <t>Checkout queda operativo, protegido y trazable según BOLT-WEB-006.</t>
        </is>
      </c>
      <c r="R7" s="3" t="inlineStr">
        <is>
          <t>calzatura-vilchez/src/domains/carrito/pages/CheckoutPage.tsx:40; calzatura-vilchez/src/domains/carrito/pages/CheckoutPage.tsx:53; calzatura-vilchez/src/domains/carrito/pages/CheckoutPage.tsx:152; calzatura-vilchez/e2e/checkout-cod-order.spec.ts:89</t>
        </is>
      </c>
      <c r="S7" s="5" t="inlineStr">
        <is>
          <t>Implementado</t>
        </is>
      </c>
      <c r="T7" s="5" t="inlineStr">
        <is>
          <t>Ejecutado</t>
        </is>
      </c>
      <c r="U7" s="3" t="inlineStr">
        <is>
          <t>El requisito se considera aceptado cuando la funcionalidad ejecuta el flujo esperado, mantiene integridad de datos, respeta permisos y cuenta con evidencia técnica en código/pruebas.</t>
        </is>
      </c>
      <c r="V7" s="3" t="inlineStr">
        <is>
          <t>Validado contra matriz BOLT BOLT-WEB-006 y evidencia del repositorio.</t>
        </is>
      </c>
      <c r="W7" s="3" t="inlineStr">
        <is>
          <t>Pérdida de trazabilidad, falla funcional, exposición de datos o interrupción operativa según el módulo afectado.</t>
        </is>
      </c>
      <c r="X7" s="3" t="inlineStr">
        <is>
          <t>ISO/IEC 25010 / ISO/IEC 42001</t>
        </is>
      </c>
    </row>
    <row r="8">
      <c r="A8" s="3" t="inlineStr">
        <is>
          <t>RF-006</t>
        </is>
      </c>
      <c r="B8" s="3" t="inlineStr">
        <is>
          <t>Funcional</t>
        </is>
      </c>
      <c r="C8" s="3" t="inlineStr">
        <is>
          <t>MP-05 — Gestión de pedidos y posventa</t>
        </is>
      </c>
      <c r="D8" s="3" t="inlineStr">
        <is>
          <t>P-016</t>
        </is>
      </c>
      <c r="E8" s="3" t="inlineStr">
        <is>
          <t>Mostrar confirmación real de pedido y evitar que una página de éxito confirme un pedido inexistente.</t>
        </is>
      </c>
      <c r="F8" s="3" t="inlineStr">
        <is>
          <t>Cliente</t>
        </is>
      </c>
      <c r="G8" s="3" t="inlineStr">
        <is>
          <t>Alta</t>
        </is>
      </c>
      <c r="H8" s="3" t="inlineStr">
        <is>
          <t>OE2</t>
        </is>
      </c>
      <c r="I8" s="3" t="inlineStr">
        <is>
          <t>CU-007</t>
        </is>
      </c>
      <c r="J8" s="3" t="inlineStr">
        <is>
          <t>Pedidos cliente</t>
        </is>
      </c>
      <c r="K8" s="3" t="inlineStr">
        <is>
          <t>calzatura-vilchez/src/domains/pedidos/pages/OrderSuccessPage.tsx:21; calzatura-vilchez/src/domains/pedidos/pages/OrderSuccessPage.tsx:52; calzatura-vilchez/src/domains/pedidos/pages/OrderSuccessPage.tsx:129</t>
        </is>
      </c>
      <c r="L8" s="3" t="inlineStr">
        <is>
          <t>pedidos</t>
        </is>
      </c>
      <c r="M8" s="3" t="inlineStr">
        <is>
          <t>POST /createOrder; GET /myOrders; GET /admin/orders</t>
        </is>
      </c>
      <c r="N8" s="3" t="inlineStr">
        <is>
          <t>CP-007</t>
        </is>
      </c>
      <c r="O8" s="3" t="inlineStr">
        <is>
          <t>Caja negra / integración</t>
        </is>
      </c>
      <c r="P8" s="3" t="inlineStr">
        <is>
          <t>Datos funcionales del módulo y sesión autorizada</t>
        </is>
      </c>
      <c r="Q8" s="3" t="inlineStr">
        <is>
          <t>Pedidos cliente queda operativo, protegido y trazable según BOLT-WEB-007.</t>
        </is>
      </c>
      <c r="R8" s="3" t="inlineStr">
        <is>
          <t>calzatura-vilchez/src/domains/pedidos/pages/OrderSuccessPage.tsx:21; calzatura-vilchez/src/domains/pedidos/pages/OrderSuccessPage.tsx:52; calzatura-vilchez/src/domains/pedidos/pages/OrderSuccessPage.tsx:129</t>
        </is>
      </c>
      <c r="S8" s="5" t="inlineStr">
        <is>
          <t>Implementado</t>
        </is>
      </c>
      <c r="T8" s="5" t="inlineStr">
        <is>
          <t>Ejecutado</t>
        </is>
      </c>
      <c r="U8" s="3" t="inlineStr">
        <is>
          <t>El requisito se considera aceptado cuando la funcionalidad ejecuta el flujo esperado, mantiene integridad de datos, respeta permisos y cuenta con evidencia técnica en código/pruebas.</t>
        </is>
      </c>
      <c r="V8" s="3" t="inlineStr">
        <is>
          <t>Validado contra matriz BOLT BOLT-WEB-007 y evidencia del repositorio.</t>
        </is>
      </c>
      <c r="W8" s="3" t="inlineStr">
        <is>
          <t>Pérdida de trazabilidad, falla funcional, exposición de datos o interrupción operativa según el módulo afectado.</t>
        </is>
      </c>
      <c r="X8" s="3" t="inlineStr">
        <is>
          <t>ISO/IEC 25010</t>
        </is>
      </c>
    </row>
    <row r="9">
      <c r="A9" s="3" t="inlineStr">
        <is>
          <t>RNF-002</t>
        </is>
      </c>
      <c r="B9" s="3" t="inlineStr">
        <is>
          <t>No funcional</t>
        </is>
      </c>
      <c r="C9" s="3" t="inlineStr">
        <is>
          <t>MP-06 — Gestión de clientes y privacidad</t>
        </is>
      </c>
      <c r="D9" s="3" t="inlineStr">
        <is>
          <t>P-019</t>
        </is>
      </c>
      <c r="E9" s="3" t="inlineStr">
        <is>
          <t>Proteger registro, login y consulta DNI con Firebase, App Check, proof secret, rate limit y minimización de PII.</t>
        </is>
      </c>
      <c r="F9" s="3" t="inlineStr">
        <is>
          <t>Visitante / Cliente</t>
        </is>
      </c>
      <c r="G9" s="3" t="inlineStr">
        <is>
          <t>Alta</t>
        </is>
      </c>
      <c r="H9" s="3" t="inlineStr">
        <is>
          <t>OE2</t>
        </is>
      </c>
      <c r="I9" s="3" t="inlineStr">
        <is>
          <t>CU-008</t>
        </is>
      </c>
      <c r="J9" s="3" t="inlineStr">
        <is>
          <t>Usuarios / DNI / PII</t>
        </is>
      </c>
      <c r="K9" s="3" t="inlineStr">
        <is>
          <t>calzatura-vilchez/src/domains/usuarios/services/dni.ts:1; calzatura-vilchez/bff/lookupDni.cjs:15; calzatura-vilchez/bff/server.cjs:1500</t>
        </is>
      </c>
      <c r="L9" s="3" t="inlineStr">
        <is>
          <t>usuarios</t>
        </is>
      </c>
      <c r="M9" s="3" t="inlineStr">
        <is>
          <t>POST /lookup-dni</t>
        </is>
      </c>
      <c r="N9" s="3" t="inlineStr">
        <is>
          <t>CP-008</t>
        </is>
      </c>
      <c r="O9" s="3" t="inlineStr">
        <is>
          <t>Integración / seguridad</t>
        </is>
      </c>
      <c r="P9" s="3" t="inlineStr">
        <is>
          <t>Firebase token, DNI, correo, teléfono, rol o datos de perfil</t>
        </is>
      </c>
      <c r="Q9" s="3" t="inlineStr">
        <is>
          <t>Usuarios / DNI / PII queda operativo, protegido y trazable según BOLT-WEB-008.</t>
        </is>
      </c>
      <c r="R9" s="3" t="inlineStr">
        <is>
          <t>calzatura-vilchez/src/domains/usuarios/services/dni.ts:1; calzatura-vilchez/bff/lookupDni.cjs:15; calzatura-vilchez/bff/server.cjs:1500</t>
        </is>
      </c>
      <c r="S9" s="5" t="inlineStr">
        <is>
          <t>Implementado</t>
        </is>
      </c>
      <c r="T9" s="5" t="inlineStr">
        <is>
          <t>Ejecutado</t>
        </is>
      </c>
      <c r="U9" s="3" t="inlineStr">
        <is>
          <t>El requisito se considera aceptado cuando la funcionalidad ejecuta el flujo esperado, mantiene integridad de datos, respeta permisos y cuenta con evidencia técnica en código/pruebas.</t>
        </is>
      </c>
      <c r="V9" s="3" t="inlineStr">
        <is>
          <t>Validado contra matriz BOLT BOLT-WEB-008 y evidencia del repositorio.</t>
        </is>
      </c>
      <c r="W9" s="3" t="inlineStr">
        <is>
          <t>Pérdida de trazabilidad, falla funcional, exposición de datos o interrupción operativa según el módulo afectado.</t>
        </is>
      </c>
      <c r="X9" s="3" t="inlineStr">
        <is>
          <t>ISO/IEC 25010 / ISO/IEC 27001 / ISO/IEC 27701</t>
        </is>
      </c>
    </row>
    <row r="10">
      <c r="A10" s="3" t="inlineStr">
        <is>
          <t>RF-007</t>
        </is>
      </c>
      <c r="B10" s="3" t="inlineStr">
        <is>
          <t>Funcional</t>
        </is>
      </c>
      <c r="C10" s="3" t="inlineStr">
        <is>
          <t>MP-06 — Gestión de clientes y privacidad</t>
        </is>
      </c>
      <c r="D10" s="3" t="inlineStr">
        <is>
          <t>P-022</t>
        </is>
      </c>
      <c r="E10" s="3" t="inlineStr">
        <is>
          <t>Administrar usuarios y roles mostrando datos sensibles enmascarados y evitando elevación de privilegios.</t>
        </is>
      </c>
      <c r="F10" s="3" t="inlineStr">
        <is>
          <t>Administrador</t>
        </is>
      </c>
      <c r="G10" s="3" t="inlineStr">
        <is>
          <t>Alta</t>
        </is>
      </c>
      <c r="H10" s="3" t="inlineStr">
        <is>
          <t>OE2</t>
        </is>
      </c>
      <c r="I10" s="3" t="inlineStr">
        <is>
          <t>CU-009</t>
        </is>
      </c>
      <c r="J10" s="3" t="inlineStr">
        <is>
          <t>Admin usuarios</t>
        </is>
      </c>
      <c r="K10" s="3" t="inlineStr">
        <is>
          <t>calzatura-vilchez/src/domains/usuarios/pages/AdminUsers.tsx:16; calzatura-vilchez/src/domains/usuarios/pages/AdminUsers.tsx:102; calzatura-vilchez/src/domains/usuarios/pages/AdminUsers.tsx:321</t>
        </is>
      </c>
      <c r="L10" s="3" t="inlineStr">
        <is>
          <t>usuarios</t>
        </is>
      </c>
      <c r="M10" s="3" t="inlineStr">
        <is>
          <t>Frontend React / BFF según evidencia</t>
        </is>
      </c>
      <c r="N10" s="3" t="inlineStr">
        <is>
          <t>CP-009</t>
        </is>
      </c>
      <c r="O10" s="3" t="inlineStr">
        <is>
          <t>Caja negra / integración</t>
        </is>
      </c>
      <c r="P10" s="3" t="inlineStr">
        <is>
          <t>Firebase token, DNI, correo, teléfono, rol o datos de perfil</t>
        </is>
      </c>
      <c r="Q10" s="3" t="inlineStr">
        <is>
          <t>Admin usuarios queda operativo, protegido y trazable según BOLT-WEB-009.</t>
        </is>
      </c>
      <c r="R10" s="3" t="inlineStr">
        <is>
          <t>calzatura-vilchez/src/domains/usuarios/pages/AdminUsers.tsx:16; calzatura-vilchez/src/domains/usuarios/pages/AdminUsers.tsx:102; calzatura-vilchez/src/domains/usuarios/pages/AdminUsers.tsx:321</t>
        </is>
      </c>
      <c r="S10" s="5" t="inlineStr">
        <is>
          <t>Implementado</t>
        </is>
      </c>
      <c r="T10" s="5" t="inlineStr">
        <is>
          <t>Ejecutado</t>
        </is>
      </c>
      <c r="U10" s="3" t="inlineStr">
        <is>
          <t>El requisito se considera aceptado cuando la funcionalidad ejecuta el flujo esperado, mantiene integridad de datos, respeta permisos y cuenta con evidencia técnica en código/pruebas.</t>
        </is>
      </c>
      <c r="V10" s="3" t="inlineStr">
        <is>
          <t>Validado contra matriz BOLT BOLT-WEB-009 y evidencia del repositorio.</t>
        </is>
      </c>
      <c r="W10" s="3" t="inlineStr">
        <is>
          <t>Pérdida de trazabilidad, falla funcional, exposición de datos o interrupción operativa según el módulo afectado.</t>
        </is>
      </c>
      <c r="X10" s="3" t="inlineStr">
        <is>
          <t>ISO/IEC 25010 / ISO/IEC 27701 / ISO/IEC 25012</t>
        </is>
      </c>
    </row>
    <row r="11">
      <c r="A11" s="3" t="inlineStr">
        <is>
          <t>RF-008</t>
        </is>
      </c>
      <c r="B11" s="3" t="inlineStr">
        <is>
          <t>Funcional</t>
        </is>
      </c>
      <c r="C11" s="3" t="inlineStr">
        <is>
          <t>MP-07 — Administración comercial</t>
        </is>
      </c>
      <c r="D11" s="3" t="inlineStr">
        <is>
          <t>P-024</t>
        </is>
      </c>
      <c r="E11" s="3" t="inlineStr">
        <is>
          <t>Administrar productos, variantes, imágenes, códigos, tallas, colores, stock, campañas y reglas comerciales.</t>
        </is>
      </c>
      <c r="F11" s="3" t="inlineStr">
        <is>
          <t>Administrador</t>
        </is>
      </c>
      <c r="G11" s="3" t="inlineStr">
        <is>
          <t>Alta</t>
        </is>
      </c>
      <c r="H11" s="3" t="inlineStr">
        <is>
          <t>OE3</t>
        </is>
      </c>
      <c r="I11" s="3" t="inlineStr">
        <is>
          <t>CU-010</t>
        </is>
      </c>
      <c r="J11" s="3" t="inlineStr">
        <is>
          <t>Admin productos</t>
        </is>
      </c>
      <c r="K11" s="3" t="inlineStr">
        <is>
          <t>calzatura-vilchez/src/domains/productos/pages/useAdminProductsPage.tsx:1; calzatura-vilchez/bff/server.cjs:3313; calzatura-vilchez/bff/server.cjs:3387</t>
        </is>
      </c>
      <c r="L11" s="3" t="inlineStr">
        <is>
          <t>productos, productoCodigos, productoFinanzas</t>
        </is>
      </c>
      <c r="M11" s="3" t="inlineStr">
        <is>
          <t>GET /admin/products; POST /updateProductAtomic</t>
        </is>
      </c>
      <c r="N11" s="3" t="inlineStr">
        <is>
          <t>CP-010</t>
        </is>
      </c>
      <c r="O11" s="3" t="inlineStr">
        <is>
          <t>Modelo IA / integración</t>
        </is>
      </c>
      <c r="P11" s="3" t="inlineStr">
        <is>
          <t>Datos de producto, talla, color, stock, categoría, precio y código</t>
        </is>
      </c>
      <c r="Q11" s="3" t="inlineStr">
        <is>
          <t>Admin productos queda operativo, protegido y trazable según BOLT-WEB-010.</t>
        </is>
      </c>
      <c r="R11" s="3" t="inlineStr">
        <is>
          <t>calzatura-vilchez/src/domains/productos/pages/useAdminProductsPage.tsx:1; calzatura-vilchez/bff/server.cjs:3313; calzatura-vilchez/bff/server.cjs:3387</t>
        </is>
      </c>
      <c r="S11" s="5" t="inlineStr">
        <is>
          <t>Implementado</t>
        </is>
      </c>
      <c r="T11" s="5" t="inlineStr">
        <is>
          <t>Ejecutado</t>
        </is>
      </c>
      <c r="U11" s="3" t="inlineStr">
        <is>
          <t>El requisito se considera aceptado cuando la funcionalidad ejecuta el flujo esperado, mantiene integridad de datos, respeta permisos y cuenta con evidencia técnica en código/pruebas.</t>
        </is>
      </c>
      <c r="V11" s="3" t="inlineStr">
        <is>
          <t>Validado contra matriz BOLT BOLT-WEB-010 y evidencia del repositorio.</t>
        </is>
      </c>
      <c r="W11" s="3" t="inlineStr">
        <is>
          <t>Pérdida de trazabilidad, falla funcional, exposición de datos o interrupción operativa según el módulo afectado.</t>
        </is>
      </c>
      <c r="X11" s="3" t="inlineStr">
        <is>
          <t>ISO/IEC 25010 / ISO/IEC 25012 / ISO/IEC 42001</t>
        </is>
      </c>
    </row>
    <row r="12">
      <c r="A12" s="3" t="inlineStr">
        <is>
          <t>RF-009</t>
        </is>
      </c>
      <c r="B12" s="3" t="inlineStr">
        <is>
          <t>Funcional</t>
        </is>
      </c>
      <c r="C12" s="3" t="inlineStr">
        <is>
          <t>MP-07 — Administración comercial</t>
        </is>
      </c>
      <c r="D12" s="3" t="inlineStr">
        <is>
          <t>P-024</t>
        </is>
      </c>
      <c r="E12" s="3" t="inlineStr">
        <is>
          <t>Controlar stock por talla/color con ingresos, descuentos y restauraciones atómicas.</t>
        </is>
      </c>
      <c r="F12" s="3" t="inlineStr">
        <is>
          <t>Administrador</t>
        </is>
      </c>
      <c r="G12" s="3" t="inlineStr">
        <is>
          <t>Alta</t>
        </is>
      </c>
      <c r="H12" s="3" t="inlineStr">
        <is>
          <t>OE3</t>
        </is>
      </c>
      <c r="I12" s="3" t="inlineStr">
        <is>
          <t>CU-011</t>
        </is>
      </c>
      <c r="J12" s="3" t="inlineStr">
        <is>
          <t>Admin productos / Stock</t>
        </is>
      </c>
      <c r="K12" s="3" t="inlineStr">
        <is>
          <t>calzatura-vilchez/bff/server.cjs:2456; calzatura-vilchez/bff/server.cjs:2494; calzatura-vilchez/bff/server.cjs:2518</t>
        </is>
      </c>
      <c r="L12" s="3" t="inlineStr">
        <is>
          <t>productos, productoCodigos, productoFinanzas</t>
        </is>
      </c>
      <c r="M12" s="3" t="inlineStr">
        <is>
          <t>GET /admin/products; POST /updateProductAtomic</t>
        </is>
      </c>
      <c r="N12" s="3" t="inlineStr">
        <is>
          <t>CP-011</t>
        </is>
      </c>
      <c r="O12" s="3" t="inlineStr">
        <is>
          <t>Modelo IA / integración</t>
        </is>
      </c>
      <c r="P12" s="3" t="inlineStr">
        <is>
          <t>Datos de producto, talla, color, stock, categoría, precio y código</t>
        </is>
      </c>
      <c r="Q12" s="3" t="inlineStr">
        <is>
          <t>Admin productos / Stock queda operativo, protegido y trazable según BOLT-WEB-011.</t>
        </is>
      </c>
      <c r="R12" s="3" t="inlineStr">
        <is>
          <t>calzatura-vilchez/bff/server.cjs:2456; calzatura-vilchez/bff/server.cjs:2494; calzatura-vilchez/bff/server.cjs:2518</t>
        </is>
      </c>
      <c r="S12" s="5" t="inlineStr">
        <is>
          <t>Implementado</t>
        </is>
      </c>
      <c r="T12" s="5" t="inlineStr">
        <is>
          <t>Ejecutado</t>
        </is>
      </c>
      <c r="U12" s="3" t="inlineStr">
        <is>
          <t>El requisito se considera aceptado cuando la funcionalidad ejecuta el flujo esperado, mantiene integridad de datos, respeta permisos y cuenta con evidencia técnica en código/pruebas.</t>
        </is>
      </c>
      <c r="V12" s="3" t="inlineStr">
        <is>
          <t>Validado contra matriz BOLT BOLT-WEB-011 y evidencia del repositorio.</t>
        </is>
      </c>
      <c r="W12" s="3" t="inlineStr">
        <is>
          <t>Pérdida de trazabilidad, falla funcional, exposición de datos o interrupción operativa según el módulo afectado.</t>
        </is>
      </c>
      <c r="X12" s="3" t="inlineStr">
        <is>
          <t>ISO/IEC 25010 / ISO/IEC 25012 / ISO/IEC 42001</t>
        </is>
      </c>
    </row>
    <row r="13">
      <c r="A13" s="3" t="inlineStr">
        <is>
          <t>RF-010</t>
        </is>
      </c>
      <c r="B13" s="3" t="inlineStr">
        <is>
          <t>Funcional</t>
        </is>
      </c>
      <c r="C13" s="3" t="inlineStr">
        <is>
          <t>MP-05 — Gestión de pedidos y posventa</t>
        </is>
      </c>
      <c r="D13" s="3" t="inlineStr">
        <is>
          <t>P-018</t>
        </is>
      </c>
      <c r="E13" s="3" t="inlineStr">
        <is>
          <t>Administrar pedidos con transiciones de estado permitidas y bloqueo de pago manual para pedidos Stripe.</t>
        </is>
      </c>
      <c r="F13" s="3" t="inlineStr">
        <is>
          <t>Administrador</t>
        </is>
      </c>
      <c r="G13" s="3" t="inlineStr">
        <is>
          <t>Alta</t>
        </is>
      </c>
      <c r="H13" s="3" t="inlineStr">
        <is>
          <t>OE3</t>
        </is>
      </c>
      <c r="I13" s="3" t="inlineStr">
        <is>
          <t>CU-012</t>
        </is>
      </c>
      <c r="J13" s="3" t="inlineStr">
        <is>
          <t>Admin pedidos</t>
        </is>
      </c>
      <c r="K13" s="3" t="inlineStr">
        <is>
          <t>calzatura-vilchez/src/domains/pedidos/pages/AdminOrders.tsx:84; calzatura-vilchez/functions/orderStatusPolicy.js:16; calzatura-vilchez/bff/server.cjs:1815</t>
        </is>
      </c>
      <c r="L13" s="3" t="inlineStr">
        <is>
          <t>pedidos</t>
        </is>
      </c>
      <c r="M13" s="3" t="inlineStr">
        <is>
          <t>POST /createCheckoutSession; POST /stripeWebhook</t>
        </is>
      </c>
      <c r="N13" s="3" t="inlineStr">
        <is>
          <t>CP-012</t>
        </is>
      </c>
      <c r="O13" s="3" t="inlineStr">
        <is>
          <t>Modelo IA / integración</t>
        </is>
      </c>
      <c r="P13" s="3" t="inlineStr">
        <is>
          <t>Datos funcionales del módulo y sesión autorizada</t>
        </is>
      </c>
      <c r="Q13" s="3" t="inlineStr">
        <is>
          <t>Admin pedidos queda operativo, protegido y trazable según BOLT-WEB-012.</t>
        </is>
      </c>
      <c r="R13" s="3" t="inlineStr">
        <is>
          <t>calzatura-vilchez/src/domains/pedidos/pages/AdminOrders.tsx:84; calzatura-vilchez/functions/orderStatusPolicy.js:16; calzatura-vilchez/bff/server.cjs:1815</t>
        </is>
      </c>
      <c r="S13" s="5" t="inlineStr">
        <is>
          <t>Implementado</t>
        </is>
      </c>
      <c r="T13" s="5" t="inlineStr">
        <is>
          <t>Ejecutado</t>
        </is>
      </c>
      <c r="U13" s="3" t="inlineStr">
        <is>
          <t>El requisito se considera aceptado cuando la funcionalidad ejecuta el flujo esperado, mantiene integridad de datos, respeta permisos y cuenta con evidencia técnica en código/pruebas.</t>
        </is>
      </c>
      <c r="V13" s="3" t="inlineStr">
        <is>
          <t>Validado contra matriz BOLT BOLT-WEB-012 y evidencia del repositorio.</t>
        </is>
      </c>
      <c r="W13" s="3" t="inlineStr">
        <is>
          <t>Pérdida de trazabilidad, falla funcional, exposición de datos o interrupción operativa según el módulo afectado.</t>
        </is>
      </c>
      <c r="X13" s="3" t="inlineStr">
        <is>
          <t>ISO/IEC 25010 / ISO/IEC 27001 / ISO/IEC 42001</t>
        </is>
      </c>
    </row>
    <row r="14">
      <c r="A14" s="3" t="inlineStr">
        <is>
          <t>RF-011</t>
        </is>
      </c>
      <c r="B14" s="3" t="inlineStr">
        <is>
          <t>Funcional</t>
        </is>
      </c>
      <c r="C14" s="3" t="inlineStr">
        <is>
          <t>MP-07 — Administración comercial</t>
        </is>
      </c>
      <c r="D14" s="3" t="inlineStr">
        <is>
          <t>P-025</t>
        </is>
      </c>
      <c r="E14" s="3" t="inlineStr">
        <is>
          <t>Gestionar fabricantes y marcas con formularios, documentos, búsqueda y eliminación mediante diálogo accesible.</t>
        </is>
      </c>
      <c r="F14" s="3" t="inlineStr">
        <is>
          <t>Administrador</t>
        </is>
      </c>
      <c r="G14" s="3" t="inlineStr">
        <is>
          <t>Alta</t>
        </is>
      </c>
      <c r="H14" s="3" t="inlineStr">
        <is>
          <t>OE3</t>
        </is>
      </c>
      <c r="I14" s="3" t="inlineStr">
        <is>
          <t>CU-013</t>
        </is>
      </c>
      <c r="J14" s="3" t="inlineStr">
        <is>
          <t>Admin fabricantes</t>
        </is>
      </c>
      <c r="K14" s="3" t="inlineStr">
        <is>
          <t>calzatura-vilchez/src/domains/fabricantes/pages/AdminManufacturers.tsx:74; calzatura-vilchez/src/domains/fabricantes/pages/AdminManufacturers.tsx:350; calzatura-vilchez/src/domains/fabricantes/pages/AdminManufacturers.tsx:717</t>
        </is>
      </c>
      <c r="L14" s="3" t="inlineStr">
        <is>
          <t>fabricantes</t>
        </is>
      </c>
      <c r="M14" s="3" t="inlineStr">
        <is>
          <t>Frontend React / BFF según evidencia</t>
        </is>
      </c>
      <c r="N14" s="3" t="inlineStr">
        <is>
          <t>CP-013</t>
        </is>
      </c>
      <c r="O14" s="3" t="inlineStr">
        <is>
          <t>Modelo IA / integración</t>
        </is>
      </c>
      <c r="P14" s="3" t="inlineStr">
        <is>
          <t>Ventas, stock, productos, métricas, historial e indicadores agregados</t>
        </is>
      </c>
      <c r="Q14" s="3" t="inlineStr">
        <is>
          <t>Admin fabricantes queda operativo, protegido y trazable según BOLT-WEB-013.</t>
        </is>
      </c>
      <c r="R14" s="3" t="inlineStr">
        <is>
          <t>calzatura-vilchez/src/domains/fabricantes/pages/AdminManufacturers.tsx:74; calzatura-vilchez/src/domains/fabricantes/pages/AdminManufacturers.tsx:350; calzatura-vilchez/src/domains/fabricantes/pages/AdminManufacturers.tsx:717</t>
        </is>
      </c>
      <c r="S14" s="5" t="inlineStr">
        <is>
          <t>Implementado</t>
        </is>
      </c>
      <c r="T14" s="5" t="inlineStr">
        <is>
          <t>Ejecutado</t>
        </is>
      </c>
      <c r="U14" s="3" t="inlineStr">
        <is>
          <t>El requisito se considera aceptado cuando la funcionalidad ejecuta el flujo esperado, mantiene integridad de datos, respeta permisos y cuenta con evidencia técnica en código/pruebas.</t>
        </is>
      </c>
      <c r="V14" s="3" t="inlineStr">
        <is>
          <t>Validado contra matriz BOLT BOLT-WEB-013 y evidencia del repositorio.</t>
        </is>
      </c>
      <c r="W14" s="3" t="inlineStr">
        <is>
          <t>Pérdida de trazabilidad, falla funcional, exposición de datos o interrupción operativa según el módulo afectado.</t>
        </is>
      </c>
      <c r="X14" s="3" t="inlineStr">
        <is>
          <t>ISO/IEC 25010 / ISO/IEC 42001</t>
        </is>
      </c>
    </row>
    <row r="15">
      <c r="A15" s="3" t="inlineStr">
        <is>
          <t>RF-012</t>
        </is>
      </c>
      <c r="B15" s="3" t="inlineStr">
        <is>
          <t>Funcional</t>
        </is>
      </c>
      <c r="C15" s="3" t="inlineStr">
        <is>
          <t>MP-08 — Ventas físicas y operación de tienda</t>
        </is>
      </c>
      <c r="D15" s="3" t="inlineStr">
        <is>
          <t>P-028</t>
        </is>
      </c>
      <c r="E15" s="3" t="inlineStr">
        <is>
          <t>Registrar ventas físicas de tienda con selección de producto, talla, precio, documento, encargado y actualización de stock.</t>
        </is>
      </c>
      <c r="F15" s="3" t="inlineStr">
        <is>
          <t>Administrador</t>
        </is>
      </c>
      <c r="G15" s="3" t="inlineStr">
        <is>
          <t>Alta</t>
        </is>
      </c>
      <c r="H15" s="3" t="inlineStr">
        <is>
          <t>OE2</t>
        </is>
      </c>
      <c r="I15" s="3" t="inlineStr">
        <is>
          <t>CU-014</t>
        </is>
      </c>
      <c r="J15" s="3" t="inlineStr">
        <is>
          <t>Admin ventas</t>
        </is>
      </c>
      <c r="K15" s="3" t="inlineStr">
        <is>
          <t>calzatura-vilchez/src/domains/ventas/pages/useSalesPage.ts:295; calzatura-vilchez/src/domains/ventas/pages/adminSalesRegisterLogic.ts:272; calzatura-vilchez/e2e/admin-sales.spec.ts:143</t>
        </is>
      </c>
      <c r="L15" s="3" t="inlineStr">
        <is>
          <t>productos, productoCodigos, productoFinanzas</t>
        </is>
      </c>
      <c r="M15" s="3" t="inlineStr">
        <is>
          <t>POST /admin/dailySales/register; POST /admin/dailySales/return</t>
        </is>
      </c>
      <c r="N15" s="3" t="inlineStr">
        <is>
          <t>CP-014</t>
        </is>
      </c>
      <c r="O15" s="3" t="inlineStr">
        <is>
          <t>Caja blanca / integración</t>
        </is>
      </c>
      <c r="P15" s="3" t="inlineStr">
        <is>
          <t>Datos de producto, talla, color, stock, categoría, precio y código</t>
        </is>
      </c>
      <c r="Q15" s="3" t="inlineStr">
        <is>
          <t>Admin ventas queda operativo, protegido y trazable según BOLT-WEB-014.</t>
        </is>
      </c>
      <c r="R15" s="3" t="inlineStr">
        <is>
          <t>calzatura-vilchez/src/domains/ventas/pages/useSalesPage.ts:295; calzatura-vilchez/src/domains/ventas/pages/adminSalesRegisterLogic.ts:272; calzatura-vilchez/e2e/admin-sales.spec.ts:143</t>
        </is>
      </c>
      <c r="S15" s="5" t="inlineStr">
        <is>
          <t>Implementado</t>
        </is>
      </c>
      <c r="T15" s="5" t="inlineStr">
        <is>
          <t>Ejecutado</t>
        </is>
      </c>
      <c r="U15" s="3" t="inlineStr">
        <is>
          <t>El requisito se considera aceptado cuando la funcionalidad ejecuta el flujo esperado, mantiene integridad de datos, respeta permisos y cuenta con evidencia técnica en código/pruebas.</t>
        </is>
      </c>
      <c r="V15" s="3" t="inlineStr">
        <is>
          <t>Validado contra matriz BOLT BOLT-WEB-014 y evidencia del repositorio.</t>
        </is>
      </c>
      <c r="W15" s="3" t="inlineStr">
        <is>
          <t>Pérdida de trazabilidad, falla funcional, exposición de datos o interrupción operativa según el módulo afectado.</t>
        </is>
      </c>
      <c r="X15" s="3" t="inlineStr">
        <is>
          <t>ISO/IEC 25010 / ISO/IEC 25012</t>
        </is>
      </c>
    </row>
    <row r="16">
      <c r="A16" s="3" t="inlineStr">
        <is>
          <t>RF-013</t>
        </is>
      </c>
      <c r="B16" s="3" t="inlineStr">
        <is>
          <t>Funcional</t>
        </is>
      </c>
      <c r="C16" s="3" t="inlineStr">
        <is>
          <t>MP-08 — Ventas físicas y operación de tienda</t>
        </is>
      </c>
      <c r="D16" s="3" t="inlineStr">
        <is>
          <t>P-029</t>
        </is>
      </c>
      <c r="E16" s="3" t="inlineStr">
        <is>
          <t>Registrar devoluciones de ventas físicas con motivo obligatorio y restauración automática de stock.</t>
        </is>
      </c>
      <c r="F16" s="3" t="inlineStr">
        <is>
          <t>Administrador</t>
        </is>
      </c>
      <c r="G16" s="3" t="inlineStr">
        <is>
          <t>Alta</t>
        </is>
      </c>
      <c r="H16" s="3" t="inlineStr">
        <is>
          <t>OE2</t>
        </is>
      </c>
      <c r="I16" s="3" t="inlineStr">
        <is>
          <t>CU-015</t>
        </is>
      </c>
      <c r="J16" s="3" t="inlineStr">
        <is>
          <t>Admin ventas / Devoluciones</t>
        </is>
      </c>
      <c r="K16" s="3" t="inlineStr">
        <is>
          <t>calzatura-vilchez/src/domains/ventas/pages/AdminSaleDetailModal.tsx:53; calzatura-vilchez/src/domains/ventas/pages/AdminSaleDetailModal.tsx:143; calzatura-vilchez/e2e/admin-sales.spec.ts:229</t>
        </is>
      </c>
      <c r="L16" s="3" t="inlineStr">
        <is>
          <t>ventasDiarias, productos</t>
        </is>
      </c>
      <c r="M16" s="3" t="inlineStr">
        <is>
          <t>POST /admin/dailySales/register; POST /admin/dailySales/return</t>
        </is>
      </c>
      <c r="N16" s="3" t="inlineStr">
        <is>
          <t>CP-015</t>
        </is>
      </c>
      <c r="O16" s="3" t="inlineStr">
        <is>
          <t>Caja negra / integración</t>
        </is>
      </c>
      <c r="P16" s="3" t="inlineStr">
        <is>
          <t>Producto, talla, cantidad, precio, documento y motivo si es devolución</t>
        </is>
      </c>
      <c r="Q16" s="3" t="inlineStr">
        <is>
          <t>Admin ventas / Devoluciones queda operativo, protegido y trazable según BOLT-WEB-015.</t>
        </is>
      </c>
      <c r="R16" s="3" t="inlineStr">
        <is>
          <t>calzatura-vilchez/src/domains/ventas/pages/AdminSaleDetailModal.tsx:53; calzatura-vilchez/src/domains/ventas/pages/AdminSaleDetailModal.tsx:143; calzatura-vilchez/e2e/admin-sales.spec.ts:229</t>
        </is>
      </c>
      <c r="S16" s="5" t="inlineStr">
        <is>
          <t>Implementado</t>
        </is>
      </c>
      <c r="T16" s="5" t="inlineStr">
        <is>
          <t>Ejecutado</t>
        </is>
      </c>
      <c r="U16" s="3" t="inlineStr">
        <is>
          <t>El requisito se considera aceptado cuando la funcionalidad ejecuta el flujo esperado, mantiene integridad de datos, respeta permisos y cuenta con evidencia técnica en código/pruebas.</t>
        </is>
      </c>
      <c r="V16" s="3" t="inlineStr">
        <is>
          <t>Validado contra matriz BOLT BOLT-WEB-015 y evidencia del repositorio.</t>
        </is>
      </c>
      <c r="W16" s="3" t="inlineStr">
        <is>
          <t>Pérdida de trazabilidad, falla funcional, exposición de datos o interrupción operativa según el módulo afectado.</t>
        </is>
      </c>
      <c r="X16" s="3" t="inlineStr">
        <is>
          <t>ISO/IEC 25010</t>
        </is>
      </c>
    </row>
    <row r="17">
      <c r="A17" s="3" t="inlineStr">
        <is>
          <t>RF-014</t>
        </is>
      </c>
      <c r="B17" s="3" t="inlineStr">
        <is>
          <t>Funcional</t>
        </is>
      </c>
      <c r="C17" s="3" t="inlineStr">
        <is>
          <t>MP-07 — Administración comercial</t>
        </is>
      </c>
      <c r="D17" s="3" t="inlineStr">
        <is>
          <t>P-026</t>
        </is>
      </c>
      <c r="E17" s="3" t="inlineStr">
        <is>
          <t>Importar y exportar productos, finanzas y ventas mediante Excel con reglas comerciales actualizadas.</t>
        </is>
      </c>
      <c r="F17" s="3" t="inlineStr">
        <is>
          <t>Administrador</t>
        </is>
      </c>
      <c r="G17" s="3" t="inlineStr">
        <is>
          <t>Alta</t>
        </is>
      </c>
      <c r="H17" s="3" t="inlineStr">
        <is>
          <t>OE2</t>
        </is>
      </c>
      <c r="I17" s="3" t="inlineStr">
        <is>
          <t>CU-016</t>
        </is>
      </c>
      <c r="J17" s="3" t="inlineStr">
        <is>
          <t>Admin datos Excel</t>
        </is>
      </c>
      <c r="K17" s="3" t="inlineStr">
        <is>
          <t>calzatura-vilchez/src/domains/administradores/pages/AdminData.tsx:975; calzatura-vilchez/src/domains/administradores/pages/AdminData.tsx:1060; calzatura-vilchez/src/domains/administradores/utils/importRules.ts:189</t>
        </is>
      </c>
      <c r="L17" s="3" t="inlineStr">
        <is>
          <t>productos, productoCodigos, productoFinanzas</t>
        </is>
      </c>
      <c r="M17" s="3" t="inlineStr">
        <is>
          <t>GET /admin/data/export; POST /admin/data/import</t>
        </is>
      </c>
      <c r="N17" s="3" t="inlineStr">
        <is>
          <t>CP-016</t>
        </is>
      </c>
      <c r="O17" s="3" t="inlineStr">
        <is>
          <t>Modelo IA / integración</t>
        </is>
      </c>
      <c r="P17" s="3" t="inlineStr">
        <is>
          <t>Datos de producto, talla, color, stock, categoría, precio y código</t>
        </is>
      </c>
      <c r="Q17" s="3" t="inlineStr">
        <is>
          <t>Admin datos Excel queda operativo, protegido y trazable según BOLT-WEB-016.</t>
        </is>
      </c>
      <c r="R17" s="3" t="inlineStr">
        <is>
          <t>calzatura-vilchez/src/domains/administradores/pages/AdminData.tsx:975; calzatura-vilchez/src/domains/administradores/pages/AdminData.tsx:1060; calzatura-vilchez/src/domains/administradores/utils/importRules.ts:189</t>
        </is>
      </c>
      <c r="S17" s="5" t="inlineStr">
        <is>
          <t>Implementado</t>
        </is>
      </c>
      <c r="T17" s="5" t="inlineStr">
        <is>
          <t>Ejecutado</t>
        </is>
      </c>
      <c r="U17" s="3" t="inlineStr">
        <is>
          <t>El requisito se considera aceptado cuando la funcionalidad ejecuta el flujo esperado, mantiene integridad de datos, respeta permisos y cuenta con evidencia técnica en código/pruebas.</t>
        </is>
      </c>
      <c r="V17" s="3" t="inlineStr">
        <is>
          <t>Validado contra matriz BOLT BOLT-WEB-016 y evidencia del repositorio.</t>
        </is>
      </c>
      <c r="W17" s="3" t="inlineStr">
        <is>
          <t>Pérdida de trazabilidad, falla funcional, exposición de datos o interrupción operativa según el módulo afectado.</t>
        </is>
      </c>
      <c r="X17" s="3" t="inlineStr">
        <is>
          <t>ISO/IEC 25010 / ISO/IEC 25012 / ISO/IEC 42001</t>
        </is>
      </c>
    </row>
    <row r="18">
      <c r="A18" s="3" t="inlineStr">
        <is>
          <t>RNF-003</t>
        </is>
      </c>
      <c r="B18" s="3" t="inlineStr">
        <is>
          <t>No funcional</t>
        </is>
      </c>
      <c r="C18" s="3" t="inlineStr">
        <is>
          <t>MP-07 — Administración comercial</t>
        </is>
      </c>
      <c r="D18" s="3" t="inlineStr">
        <is>
          <t>P-026</t>
        </is>
      </c>
      <c r="E18" s="3" t="inlineStr">
        <is>
          <t>Neutralizar fórmulas maliciosas al exportar hojas Excel para evitar spreadsheet injection.</t>
        </is>
      </c>
      <c r="F18" s="3" t="inlineStr">
        <is>
          <t>Administrador</t>
        </is>
      </c>
      <c r="G18" s="3" t="inlineStr">
        <is>
          <t>Alta</t>
        </is>
      </c>
      <c r="H18" s="3" t="inlineStr">
        <is>
          <t>OE4</t>
        </is>
      </c>
      <c r="I18" s="3" t="inlineStr">
        <is>
          <t>CU-017</t>
        </is>
      </c>
      <c r="J18" s="3" t="inlineStr">
        <is>
          <t>Admin datos Excel / Seguridad</t>
        </is>
      </c>
      <c r="K18" s="3" t="inlineStr">
        <is>
          <t>calzatura-vilchez/src/domains/administradores/utils/spreadsheet.ts:52; calzatura-vilchez/src/domains/administradores/utils/spreadsheet.ts:67; calzatura-vilchez/src/__tests__/spreadsheet.test.ts:1</t>
        </is>
      </c>
      <c r="L18" s="3" t="inlineStr">
        <is>
          <t>productos, productoFinanzas, fabricantes, ventasDiarias</t>
        </is>
      </c>
      <c r="M18" s="3" t="inlineStr">
        <is>
          <t>GET /admin/data/export; POST /admin/data/import</t>
        </is>
      </c>
      <c r="N18" s="3" t="inlineStr">
        <is>
          <t>CP-017</t>
        </is>
      </c>
      <c r="O18" s="3" t="inlineStr">
        <is>
          <t>Integración / seguridad</t>
        </is>
      </c>
      <c r="P18" s="3" t="inlineStr">
        <is>
          <t>Archivo .xlsx, colección, lote, escenario y filas validadas</t>
        </is>
      </c>
      <c r="Q18" s="3" t="inlineStr">
        <is>
          <t>Admin datos Excel / Seguridad queda operativo, protegido y trazable según BOLT-WEB-017.</t>
        </is>
      </c>
      <c r="R18" s="3" t="inlineStr">
        <is>
          <t>calzatura-vilchez/src/domains/administradores/utils/spreadsheet.ts:52; calzatura-vilchez/src/domains/administradores/utils/spreadsheet.ts:67; calzatura-vilchez/src/__tests__/spreadsheet.test.ts:1</t>
        </is>
      </c>
      <c r="S18" s="5" t="inlineStr">
        <is>
          <t>Implementado</t>
        </is>
      </c>
      <c r="T18" s="5" t="inlineStr">
        <is>
          <t>Ejecutado</t>
        </is>
      </c>
      <c r="U18" s="3" t="inlineStr">
        <is>
          <t>El requisito se considera aceptado cuando la funcionalidad ejecuta el flujo esperado, mantiene integridad de datos, respeta permisos y cuenta con evidencia técnica en código/pruebas.</t>
        </is>
      </c>
      <c r="V18" s="3" t="inlineStr">
        <is>
          <t>Validado contra matriz BOLT BOLT-WEB-017 y evidencia del repositorio.</t>
        </is>
      </c>
      <c r="W18" s="3" t="inlineStr">
        <is>
          <t>Pérdida de trazabilidad, falla funcional, exposición de datos o interrupción operativa según el módulo afectado.</t>
        </is>
      </c>
      <c r="X18" s="3" t="inlineStr">
        <is>
          <t>ISO/IEC 25010 / ISO/IEC 27001 / ISO/IEC 25012</t>
        </is>
      </c>
    </row>
    <row r="19">
      <c r="A19" s="3" t="inlineStr">
        <is>
          <t>RNF-004</t>
        </is>
      </c>
      <c r="B19" s="3" t="inlineStr">
        <is>
          <t>No funcional</t>
        </is>
      </c>
      <c r="C19" s="3" t="inlineStr">
        <is>
          <t>MP-07 — Administración comercial</t>
        </is>
      </c>
      <c r="D19" s="3" t="inlineStr">
        <is>
          <t>P-027</t>
        </is>
      </c>
      <c r="E19" s="3" t="inlineStr">
        <is>
          <t>Proteger auditoría para que solo registre acciones permitidas, sin eventos arbitrarios desde navegador ni PII innecesaria.</t>
        </is>
      </c>
      <c r="F19" s="3" t="inlineStr">
        <is>
          <t>Equipo técnico / Administrador</t>
        </is>
      </c>
      <c r="G19" s="3" t="inlineStr">
        <is>
          <t>Alta</t>
        </is>
      </c>
      <c r="H19" s="3" t="inlineStr">
        <is>
          <t>OE4</t>
        </is>
      </c>
      <c r="I19" s="3" t="inlineStr">
        <is>
          <t>CU-018</t>
        </is>
      </c>
      <c r="J19" s="3" t="inlineStr">
        <is>
          <t>Auditoría</t>
        </is>
      </c>
      <c r="K19" s="3" t="inlineStr">
        <is>
          <t>calzatura-vilchez/bff/server.cjs:636; calzatura-vilchez/bff/server.cjs:683; calzatura-vilchez/bff/server.cjs:3630; calzatura-vilchez/bff/auditPii.cjs:1</t>
        </is>
      </c>
      <c r="L19" s="3" t="inlineStr">
        <is>
          <t>auditoria</t>
        </is>
      </c>
      <c r="M19" s="3" t="inlineStr">
        <is>
          <t>POST /audit; GET /admin/audit</t>
        </is>
      </c>
      <c r="N19" s="3" t="inlineStr">
        <is>
          <t>CP-018</t>
        </is>
      </c>
      <c r="O19" s="3" t="inlineStr">
        <is>
          <t>Integración / seguridad</t>
        </is>
      </c>
      <c r="P19" s="3" t="inlineStr">
        <is>
          <t>Ventas, stock, productos, métricas, historial e indicadores agregados</t>
        </is>
      </c>
      <c r="Q19" s="3" t="inlineStr">
        <is>
          <t>Auditoría queda operativo, protegido y trazable según BOLT-WEB-018.</t>
        </is>
      </c>
      <c r="R19" s="3" t="inlineStr">
        <is>
          <t>calzatura-vilchez/bff/server.cjs:636; calzatura-vilchez/bff/server.cjs:683; calzatura-vilchez/bff/server.cjs:3630; calzatura-vilchez/bff/auditPii.cjs:1</t>
        </is>
      </c>
      <c r="S19" s="5" t="inlineStr">
        <is>
          <t>Implementado</t>
        </is>
      </c>
      <c r="T19" s="5" t="inlineStr">
        <is>
          <t>Ejecutado</t>
        </is>
      </c>
      <c r="U19" s="3" t="inlineStr">
        <is>
          <t>El requisito se considera aceptado cuando la funcionalidad ejecuta el flujo esperado, mantiene integridad de datos, respeta permisos y cuenta con evidencia técnica en código/pruebas.</t>
        </is>
      </c>
      <c r="V19" s="3" t="inlineStr">
        <is>
          <t>Validado contra matriz BOLT BOLT-WEB-018 y evidencia del repositorio.</t>
        </is>
      </c>
      <c r="W19" s="3" t="inlineStr">
        <is>
          <t>Pérdida de trazabilidad, falla funcional, exposición de datos o interrupción operativa según el módulo afectado.</t>
        </is>
      </c>
      <c r="X19" s="3" t="inlineStr">
        <is>
          <t>ISO/IEC 25010 / ISO/IEC 27001 / ISO/IEC 27701 / ISO/IEC 42001</t>
        </is>
      </c>
    </row>
    <row r="20">
      <c r="A20" s="3" t="inlineStr">
        <is>
          <t>RNF-005</t>
        </is>
      </c>
      <c r="B20" s="3" t="inlineStr">
        <is>
          <t>No funcional</t>
        </is>
      </c>
      <c r="C20" s="3" t="inlineStr">
        <is>
          <t>MP-04 — Gestión de carrito y compra web</t>
        </is>
      </c>
      <c r="D20" s="3" t="inlineStr">
        <is>
          <t>P-014</t>
        </is>
      </c>
      <c r="E20" s="3" t="inlineStr">
        <is>
          <t>Validar pagos Stripe mediante webhook firmado y bloquear marcado manual de pagado para pedidos Stripe.</t>
        </is>
      </c>
      <c r="F20" s="3" t="inlineStr">
        <is>
          <t>Equipo técnico / Administrador</t>
        </is>
      </c>
      <c r="G20" s="3" t="inlineStr">
        <is>
          <t>Alta</t>
        </is>
      </c>
      <c r="H20" s="3" t="inlineStr">
        <is>
          <t>OE4</t>
        </is>
      </c>
      <c r="I20" s="3" t="inlineStr">
        <is>
          <t>CU-019</t>
        </is>
      </c>
      <c r="J20" s="3" t="inlineStr">
        <is>
          <t>Pagos / Stripe</t>
        </is>
      </c>
      <c r="K20" s="3" t="inlineStr">
        <is>
          <t>calzatura-vilchez/bff/server.cjs:1815; calzatura-vilchez/bff/server.cjs:2543; calzatura-vilchez/bff/server.cjs:2718; calzatura-vilchez/bff/server.cjs:2726</t>
        </is>
      </c>
      <c r="L20" s="3" t="inlineStr">
        <is>
          <t>pedidos</t>
        </is>
      </c>
      <c r="M20" s="3" t="inlineStr">
        <is>
          <t>POST /createCheckoutSession; POST /stripeWebhook</t>
        </is>
      </c>
      <c r="N20" s="3" t="inlineStr">
        <is>
          <t>CP-019</t>
        </is>
      </c>
      <c r="O20" s="3" t="inlineStr">
        <is>
          <t>Integración / seguridad</t>
        </is>
      </c>
      <c r="P20" s="3" t="inlineStr">
        <is>
          <t>Ventas, stock, productos, métricas, historial e indicadores agregados</t>
        </is>
      </c>
      <c r="Q20" s="3" t="inlineStr">
        <is>
          <t>Pagos / Stripe queda operativo, protegido y trazable según BOLT-WEB-019.</t>
        </is>
      </c>
      <c r="R20" s="3" t="inlineStr">
        <is>
          <t>calzatura-vilchez/bff/server.cjs:1815; calzatura-vilchez/bff/server.cjs:2543; calzatura-vilchez/bff/server.cjs:2718; calzatura-vilchez/bff/server.cjs:2726</t>
        </is>
      </c>
      <c r="S20" s="5" t="inlineStr">
        <is>
          <t>Implementado</t>
        </is>
      </c>
      <c r="T20" s="5" t="inlineStr">
        <is>
          <t>Ejecutado</t>
        </is>
      </c>
      <c r="U20" s="3" t="inlineStr">
        <is>
          <t>El requisito se considera aceptado cuando la funcionalidad ejecuta el flujo esperado, mantiene integridad de datos, respeta permisos y cuenta con evidencia técnica en código/pruebas.</t>
        </is>
      </c>
      <c r="V20" s="3" t="inlineStr">
        <is>
          <t>Validado contra matriz BOLT BOLT-WEB-019 y evidencia del repositorio.</t>
        </is>
      </c>
      <c r="W20" s="3" t="inlineStr">
        <is>
          <t>Pérdida de trazabilidad, falla funcional, exposición de datos o interrupción operativa según el módulo afectado.</t>
        </is>
      </c>
      <c r="X20" s="3" t="inlineStr">
        <is>
          <t>ISO/IEC 25010 / ISO/IEC 27001 / ISO/IEC 42001</t>
        </is>
      </c>
    </row>
    <row r="21">
      <c r="A21" s="3" t="inlineStr">
        <is>
          <t>RNF-006</t>
        </is>
      </c>
      <c r="B21" s="3" t="inlineStr">
        <is>
          <t>No funcional</t>
        </is>
      </c>
      <c r="C21" s="3" t="inlineStr">
        <is>
          <t>MP-09 — Seguridad, privacidad y base de datos</t>
        </is>
      </c>
      <c r="D21" s="3" t="inlineStr">
        <is>
          <t>P-033</t>
        </is>
      </c>
      <c r="E21" s="3" t="inlineStr">
        <is>
          <t>Aplicar rate limit y monitoreo de seguridad en endpoints públicos para evitar abuso, scraping o enumeración.</t>
        </is>
      </c>
      <c r="F21" s="3" t="inlineStr">
        <is>
          <t>Equipo técnico / Administrador</t>
        </is>
      </c>
      <c r="G21" s="3" t="inlineStr">
        <is>
          <t>Alta</t>
        </is>
      </c>
      <c r="H21" s="3" t="inlineStr">
        <is>
          <t>OE4</t>
        </is>
      </c>
      <c r="I21" s="3" t="inlineStr">
        <is>
          <t>CU-020</t>
        </is>
      </c>
      <c r="J21" s="3" t="inlineStr">
        <is>
          <t>BFF / Seguridad</t>
        </is>
      </c>
      <c r="K21" s="3" t="inlineStr">
        <is>
          <t>calzatura-vilchez/bff/publicRateLimit.cjs:7; calzatura-vilchez/bff/publicRateLimit.cjs:76; calzatura-vilchez/bff/securityMonitor.cjs:1</t>
        </is>
      </c>
      <c r="L21" s="3" t="inlineStr">
        <is>
          <t>No aplica</t>
        </is>
      </c>
      <c r="M21" s="3" t="inlineStr">
        <is>
          <t>Frontend React / BFF según evidencia</t>
        </is>
      </c>
      <c r="N21" s="3" t="inlineStr">
        <is>
          <t>CP-020</t>
        </is>
      </c>
      <c r="O21" s="3" t="inlineStr">
        <is>
          <t>Integración / seguridad</t>
        </is>
      </c>
      <c r="P21" s="3" t="inlineStr">
        <is>
          <t>Datos funcionales del módulo y sesión autorizada</t>
        </is>
      </c>
      <c r="Q21" s="3" t="inlineStr">
        <is>
          <t>BFF / Seguridad queda operativo, protegido y trazable según BOLT-WEB-020.</t>
        </is>
      </c>
      <c r="R21" s="3" t="inlineStr">
        <is>
          <t>calzatura-vilchez/bff/publicRateLimit.cjs:7; calzatura-vilchez/bff/publicRateLimit.cjs:76; calzatura-vilchez/bff/securityMonitor.cjs:1</t>
        </is>
      </c>
      <c r="S21" s="5" t="inlineStr">
        <is>
          <t>Implementado</t>
        </is>
      </c>
      <c r="T21" s="5" t="inlineStr">
        <is>
          <t>Ejecutado</t>
        </is>
      </c>
      <c r="U21" s="3" t="inlineStr">
        <is>
          <t>El requisito se considera aceptado cuando la funcionalidad ejecuta el flujo esperado, mantiene integridad de datos, respeta permisos y cuenta con evidencia técnica en código/pruebas.</t>
        </is>
      </c>
      <c r="V21" s="3" t="inlineStr">
        <is>
          <t>Validado contra matriz BOLT BOLT-WEB-020 y evidencia del repositorio.</t>
        </is>
      </c>
      <c r="W21" s="3" t="inlineStr">
        <is>
          <t>Pérdida de trazabilidad, falla funcional, exposición de datos o interrupción operativa según el módulo afectado.</t>
        </is>
      </c>
      <c r="X21" s="3" t="inlineStr">
        <is>
          <t>ISO/IEC 25010 / ISO/IEC 27001</t>
        </is>
      </c>
    </row>
    <row r="22">
      <c r="A22" s="3" t="inlineStr">
        <is>
          <t>RNF-007</t>
        </is>
      </c>
      <c r="B22" s="3" t="inlineStr">
        <is>
          <t>No funcional</t>
        </is>
      </c>
      <c r="C22" s="3" t="inlineStr">
        <is>
          <t>MP-09 — Seguridad, privacidad y base de datos</t>
        </is>
      </c>
      <c r="D22" s="3" t="inlineStr">
        <is>
          <t>P-034</t>
        </is>
      </c>
      <c r="E22" s="3" t="inlineStr">
        <is>
          <t>Ejecutar pruebas Docker/ZAP de seguridad dinámica para confirmar que no existen hallazgos altos o críticos.</t>
        </is>
      </c>
      <c r="F22" s="3" t="inlineStr">
        <is>
          <t>Equipo técnico / Administrador</t>
        </is>
      </c>
      <c r="G22" s="3" t="inlineStr">
        <is>
          <t>Alta</t>
        </is>
      </c>
      <c r="H22" s="3" t="inlineStr">
        <is>
          <t>OE4</t>
        </is>
      </c>
      <c r="I22" s="3" t="inlineStr">
        <is>
          <t>CU-021</t>
        </is>
      </c>
      <c r="J22" s="3" t="inlineStr">
        <is>
          <t>Seguridad DAST</t>
        </is>
      </c>
      <c r="K22" s="3" t="inlineStr">
        <is>
          <t>zap-reports/zap.yaml:24; zap-reports/zap-production-report-v2.json:2; zap-reports/zap-baseline-report.html:219</t>
        </is>
      </c>
      <c r="L22" s="3" t="inlineStr">
        <is>
          <t>No aplica</t>
        </is>
      </c>
      <c r="M22" s="3" t="inlineStr">
        <is>
          <t>Frontend React / BFF según evidencia</t>
        </is>
      </c>
      <c r="N22" s="3" t="inlineStr">
        <is>
          <t>CP-021</t>
        </is>
      </c>
      <c r="O22" s="3" t="inlineStr">
        <is>
          <t>Integración / seguridad</t>
        </is>
      </c>
      <c r="P22" s="3" t="inlineStr">
        <is>
          <t>URL objetivo, escenario de carga y reporte automatizado</t>
        </is>
      </c>
      <c r="Q22" s="3" t="inlineStr">
        <is>
          <t>Seguridad DAST queda operativo, protegido y trazable según BOLT-WEB-021.</t>
        </is>
      </c>
      <c r="R22" s="3" t="inlineStr">
        <is>
          <t>zap-reports/zap.yaml:24; zap-reports/zap-production-report-v2.json:2; zap-reports/zap-baseline-report.html:219</t>
        </is>
      </c>
      <c r="S22" s="5" t="inlineStr">
        <is>
          <t>Implementado</t>
        </is>
      </c>
      <c r="T22" s="5" t="inlineStr">
        <is>
          <t>Ejecutado</t>
        </is>
      </c>
      <c r="U22" s="3" t="inlineStr">
        <is>
          <t>El requisito se considera aceptado cuando la funcionalidad ejecuta el flujo esperado, mantiene integridad de datos, respeta permisos y cuenta con evidencia técnica en código/pruebas.</t>
        </is>
      </c>
      <c r="V22" s="3" t="inlineStr">
        <is>
          <t>Validado contra matriz BOLT BOLT-WEB-021 y evidencia del repositorio.</t>
        </is>
      </c>
      <c r="W22" s="3" t="inlineStr">
        <is>
          <t>Pérdida de trazabilidad, falla funcional, exposición de datos o interrupción operativa según el módulo afectado.</t>
        </is>
      </c>
      <c r="X22" s="3" t="inlineStr">
        <is>
          <t>ISO/IEC 25010 / ISO/IEC 27001 / ISO/IEC 29119</t>
        </is>
      </c>
    </row>
    <row r="23">
      <c r="A23" s="3" t="inlineStr">
        <is>
          <t>RNF-008</t>
        </is>
      </c>
      <c r="B23" s="3" t="inlineStr">
        <is>
          <t>No funcional</t>
        </is>
      </c>
      <c r="C23" s="3" t="inlineStr">
        <is>
          <t>MP-09 — Seguridad, privacidad y base de datos</t>
        </is>
      </c>
      <c r="D23" s="3" t="inlineStr">
        <is>
          <t>P-031</t>
        </is>
      </c>
      <c r="E23" s="3" t="inlineStr">
        <is>
          <t>Controlar acceso a Supabase mediante RLS, revoke y RPC administrativas únicamente por BFF/service_role.</t>
        </is>
      </c>
      <c r="F23" s="3" t="inlineStr">
        <is>
          <t>Equipo técnico / Administrador</t>
        </is>
      </c>
      <c r="G23" s="3" t="inlineStr">
        <is>
          <t>Alta</t>
        </is>
      </c>
      <c r="H23" s="3" t="inlineStr">
        <is>
          <t>OE4</t>
        </is>
      </c>
      <c r="I23" s="3" t="inlineStr">
        <is>
          <t>CU-022</t>
        </is>
      </c>
      <c r="J23" s="3" t="inlineStr">
        <is>
          <t>Supabase / RLS / RPC</t>
        </is>
      </c>
      <c r="K23" s="3" t="inlineStr">
        <is>
          <t>calzatura-vilchez/supabase/migrations/20260519150000_harden_admin_rpcs_bff_only.sql:1; calzatura-vilchez/supabase/migrations/20260520120000_harden_auditoria_service_role.sql:1; calzatura-vilchez/src/__tests__/supabaseDirectAccessGuard.test.js:1</t>
        </is>
      </c>
      <c r="L23" s="3" t="inlineStr">
        <is>
          <t>auditoria</t>
        </is>
      </c>
      <c r="M23" s="3" t="inlineStr">
        <is>
          <t>Frontend React / BFF según evidencia</t>
        </is>
      </c>
      <c r="N23" s="3" t="inlineStr">
        <is>
          <t>CP-022</t>
        </is>
      </c>
      <c r="O23" s="3" t="inlineStr">
        <is>
          <t>Integración / seguridad</t>
        </is>
      </c>
      <c r="P23" s="3" t="inlineStr">
        <is>
          <t>Ventas, stock, productos, métricas, historial e indicadores agregados</t>
        </is>
      </c>
      <c r="Q23" s="3" t="inlineStr">
        <is>
          <t>Supabase / RLS / RPC queda operativo, protegido y trazable según BOLT-WEB-022.</t>
        </is>
      </c>
      <c r="R23" s="3" t="inlineStr">
        <is>
          <t>calzatura-vilchez/supabase/migrations/20260519150000_harden_admin_rpcs_bff_only.sql:1; calzatura-vilchez/supabase/migrations/20260520120000_harden_auditoria_service_role.sql:1; calzatura-vilchez/src/__tests__/supabaseDirectAccessGuard.test.js:1</t>
        </is>
      </c>
      <c r="S23" s="5" t="inlineStr">
        <is>
          <t>Implementado</t>
        </is>
      </c>
      <c r="T23" s="5" t="inlineStr">
        <is>
          <t>Ejecutado</t>
        </is>
      </c>
      <c r="U23" s="3" t="inlineStr">
        <is>
          <t>El requisito se considera aceptado cuando la funcionalidad ejecuta el flujo esperado, mantiene integridad de datos, respeta permisos y cuenta con evidencia técnica en código/pruebas.</t>
        </is>
      </c>
      <c r="V23" s="3" t="inlineStr">
        <is>
          <t>Validado contra matriz BOLT BOLT-WEB-022 y evidencia del repositorio.</t>
        </is>
      </c>
      <c r="W23" s="3" t="inlineStr">
        <is>
          <t>Pérdida de trazabilidad, falla funcional, exposición de datos o interrupción operativa según el módulo afectado.</t>
        </is>
      </c>
      <c r="X23" s="3" t="inlineStr">
        <is>
          <t>ISO/IEC 25010 / ISO/IEC 27001 / ISO/IEC 25012 / ISO/IEC 42001</t>
        </is>
      </c>
    </row>
    <row r="24">
      <c r="A24" s="3" t="inlineStr">
        <is>
          <t>RNF-009</t>
        </is>
      </c>
      <c r="B24" s="3" t="inlineStr">
        <is>
          <t>No funcional</t>
        </is>
      </c>
      <c r="C24" s="3" t="inlineStr">
        <is>
          <t>MP-09 — Seguridad, privacidad y base de datos</t>
        </is>
      </c>
      <c r="D24" s="3" t="inlineStr">
        <is>
          <t>P-032</t>
        </is>
      </c>
      <c r="E24" s="3" t="inlineStr">
        <is>
          <t>Minimizar y proteger datos personales del usuario, especialmente DNI, correo y teléfono.</t>
        </is>
      </c>
      <c r="F24" s="3" t="inlineStr">
        <is>
          <t>Equipo técnico / Administrador</t>
        </is>
      </c>
      <c r="G24" s="3" t="inlineStr">
        <is>
          <t>Alta</t>
        </is>
      </c>
      <c r="H24" s="3" t="inlineStr">
        <is>
          <t>OE4</t>
        </is>
      </c>
      <c r="I24" s="3" t="inlineStr">
        <is>
          <t>CU-023</t>
        </is>
      </c>
      <c r="J24" s="3" t="inlineStr">
        <is>
          <t>Supabase / PII</t>
        </is>
      </c>
      <c r="K24" s="3" t="inlineStr">
        <is>
          <t>calzatura-vilchez/supabase/migrations/20260504230000_pgcrypto_dni_protection.sql:1; calzatura-vilchez/src/utils/maskEmail.ts:1; calzatura-vilchez/src/domains/usuarios/pages/AdminUsers.tsx:321</t>
        </is>
      </c>
      <c r="L24" s="3" t="inlineStr">
        <is>
          <t>usuarios</t>
        </is>
      </c>
      <c r="M24" s="3" t="inlineStr">
        <is>
          <t>POST /lookup-dni</t>
        </is>
      </c>
      <c r="N24" s="3" t="inlineStr">
        <is>
          <t>CP-023</t>
        </is>
      </c>
      <c r="O24" s="3" t="inlineStr">
        <is>
          <t>Integración / seguridad</t>
        </is>
      </c>
      <c r="P24" s="3" t="inlineStr">
        <is>
          <t>Firebase token, DNI, correo, teléfono, rol o datos de perfil</t>
        </is>
      </c>
      <c r="Q24" s="3" t="inlineStr">
        <is>
          <t>Supabase / PII queda operativo, protegido y trazable según BOLT-WEB-023.</t>
        </is>
      </c>
      <c r="R24" s="3" t="inlineStr">
        <is>
          <t>calzatura-vilchez/supabase/migrations/20260504230000_pgcrypto_dni_protection.sql:1; calzatura-vilchez/src/utils/maskEmail.ts:1; calzatura-vilchez/src/domains/usuarios/pages/AdminUsers.tsx:321</t>
        </is>
      </c>
      <c r="S24" s="5" t="inlineStr">
        <is>
          <t>Implementado</t>
        </is>
      </c>
      <c r="T24" s="5" t="inlineStr">
        <is>
          <t>Ejecutado</t>
        </is>
      </c>
      <c r="U24" s="3" t="inlineStr">
        <is>
          <t>El requisito se considera aceptado cuando la funcionalidad ejecuta el flujo esperado, mantiene integridad de datos, respeta permisos y cuenta con evidencia técnica en código/pruebas.</t>
        </is>
      </c>
      <c r="V24" s="3" t="inlineStr">
        <is>
          <t>Validado contra matriz BOLT BOLT-WEB-023 y evidencia del repositorio.</t>
        </is>
      </c>
      <c r="W24" s="3" t="inlineStr">
        <is>
          <t>Pérdida de trazabilidad, falla funcional, exposición de datos o interrupción operativa según el módulo afectado.</t>
        </is>
      </c>
      <c r="X24" s="3" t="inlineStr">
        <is>
          <t>ISO/IEC 25010 / ISO/IEC 27701 / ISO/IEC 25012 / ISO/IEC 42001</t>
        </is>
      </c>
    </row>
    <row r="25">
      <c r="A25" s="3" t="inlineStr">
        <is>
          <t>RF-015</t>
        </is>
      </c>
      <c r="B25" s="3" t="inlineStr">
        <is>
          <t>Funcional</t>
        </is>
      </c>
      <c r="C25" s="3" t="inlineStr">
        <is>
          <t>MP-10 — Inteligencia artificial y analítica</t>
        </is>
      </c>
      <c r="D25" s="3" t="inlineStr">
        <is>
          <t>P-035</t>
        </is>
      </c>
      <c r="E25" s="3" t="inlineStr">
        <is>
          <t>Mostrar predicciones, métricas, IRE, campañas y estado de suficiencia de datos para apoyar decisiones comerciales.</t>
        </is>
      </c>
      <c r="F25" s="3" t="inlineStr">
        <is>
          <t>Administrador / Servicio IA</t>
        </is>
      </c>
      <c r="G25" s="3" t="inlineStr">
        <is>
          <t>Alta</t>
        </is>
      </c>
      <c r="H25" s="3" t="inlineStr">
        <is>
          <t>OE3</t>
        </is>
      </c>
      <c r="I25" s="3" t="inlineStr">
        <is>
          <t>CU-024</t>
        </is>
      </c>
      <c r="J25" s="3" t="inlineStr">
        <is>
          <t>IA / Predicciones</t>
        </is>
      </c>
      <c r="K25" s="3" t="inlineStr">
        <is>
          <t>calzatura-vilchez/src/domains/administradores/pages/AdminPredictions.tsx:1; calzatura-vilchez/src/domains/administradores/predictions/AdminPredictionsDashboardTabs.tsx:425; scripts/ai-backtest-gate.mjs:1</t>
        </is>
      </c>
      <c r="L25" s="3" t="inlineStr">
        <is>
          <t>ireHistorial, modeloEstado, ventasDiarias, productos</t>
        </is>
      </c>
      <c r="M25" s="3" t="inlineStr">
        <is>
          <t>Frontend React / BFF según evidencia</t>
        </is>
      </c>
      <c r="N25" s="3" t="inlineStr">
        <is>
          <t>CP-024</t>
        </is>
      </c>
      <c r="O25" s="3" t="inlineStr">
        <is>
          <t>Modelo IA / integración</t>
        </is>
      </c>
      <c r="P25" s="3" t="inlineStr">
        <is>
          <t>Ventas, stock, productos, métricas, historial e indicadores agregados</t>
        </is>
      </c>
      <c r="Q25" s="3" t="inlineStr">
        <is>
          <t>IA / Predicciones queda operativo, protegido y trazable según BOLT-WEB-024.</t>
        </is>
      </c>
      <c r="R25" s="3" t="inlineStr">
        <is>
          <t>calzatura-vilchez/src/domains/administradores/pages/AdminPredictions.tsx:1; calzatura-vilchez/src/domains/administradores/predictions/AdminPredictionsDashboardTabs.tsx:425; scripts/ai-backtest-gate.mjs:1</t>
        </is>
      </c>
      <c r="S25" s="5" t="inlineStr">
        <is>
          <t>Implementado</t>
        </is>
      </c>
      <c r="T25" s="5" t="inlineStr">
        <is>
          <t>Ejecutado</t>
        </is>
      </c>
      <c r="U25" s="3" t="inlineStr">
        <is>
          <t>El requisito se considera aceptado cuando la funcionalidad ejecuta el flujo esperado, mantiene integridad de datos, respeta permisos y cuenta con evidencia técnica en código/pruebas.</t>
        </is>
      </c>
      <c r="V25" s="3" t="inlineStr">
        <is>
          <t>Validado contra matriz BOLT BOLT-WEB-024 y evidencia del repositorio.</t>
        </is>
      </c>
      <c r="W25" s="3" t="inlineStr">
        <is>
          <t>Pérdida de trazabilidad, falla funcional, exposición de datos o interrupción operativa según el módulo afectado.</t>
        </is>
      </c>
      <c r="X25" s="3" t="inlineStr">
        <is>
          <t>ISO/IEC 25010 / ISO/IEC 25012 / ISO/IEC 42001</t>
        </is>
      </c>
    </row>
    <row r="26">
      <c r="A26" s="3" t="inlineStr">
        <is>
          <t>RNF-010</t>
        </is>
      </c>
      <c r="B26" s="3" t="inlineStr">
        <is>
          <t>No funcional</t>
        </is>
      </c>
      <c r="C26" s="3" t="inlineStr">
        <is>
          <t>MP-11 — Calidad, DevOps y despliegue</t>
        </is>
      </c>
      <c r="D26" s="3" t="inlineStr">
        <is>
          <t>P-037</t>
        </is>
      </c>
      <c r="E26" s="3" t="inlineStr">
        <is>
          <t>Ejecutar CI/CD con lint, typecheck, pruebas unitarias, E2E, migraciones, Docker, Functions y gates de despliegue.</t>
        </is>
      </c>
      <c r="F26" s="3" t="inlineStr">
        <is>
          <t>Equipo técnico / Administrador</t>
        </is>
      </c>
      <c r="G26" s="3" t="inlineStr">
        <is>
          <t>Alta</t>
        </is>
      </c>
      <c r="H26" s="3" t="inlineStr">
        <is>
          <t>OE4</t>
        </is>
      </c>
      <c r="I26" s="3" t="inlineStr">
        <is>
          <t>CU-025</t>
        </is>
      </c>
      <c r="J26" s="3" t="inlineStr">
        <is>
          <t>DevOps / CI/CD</t>
        </is>
      </c>
      <c r="K26" s="3" t="inlineStr">
        <is>
          <t>.github/workflows/ci.yml:1; .github/workflows/ci-integration.yml:1; .github/workflows/deploy-production.yml:1</t>
        </is>
      </c>
      <c r="L26" s="3" t="inlineStr">
        <is>
          <t>ireHistorial, modeloEstado, ventasDiarias, productos</t>
        </is>
      </c>
      <c r="M26" s="3" t="inlineStr">
        <is>
          <t>Frontend React / BFF según evidencia</t>
        </is>
      </c>
      <c r="N26" s="3" t="inlineStr">
        <is>
          <t>CP-025</t>
        </is>
      </c>
      <c r="O26" s="3" t="inlineStr">
        <is>
          <t>Modelo IA / integración</t>
        </is>
      </c>
      <c r="P26" s="3" t="inlineStr">
        <is>
          <t>Ventas, stock, productos, métricas, historial e indicadores agregados</t>
        </is>
      </c>
      <c r="Q26" s="3" t="inlineStr">
        <is>
          <t>DevOps / CI/CD queda operativo, protegido y trazable según BOLT-WEB-025.</t>
        </is>
      </c>
      <c r="R26" s="3" t="inlineStr">
        <is>
          <t>.github/workflows/ci.yml:1; .github/workflows/ci-integration.yml:1; .github/workflows/deploy-production.yml:1</t>
        </is>
      </c>
      <c r="S26" s="5" t="inlineStr">
        <is>
          <t>Implementado</t>
        </is>
      </c>
      <c r="T26" s="5" t="inlineStr">
        <is>
          <t>Ejecutado</t>
        </is>
      </c>
      <c r="U26" s="3" t="inlineStr">
        <is>
          <t>El requisito se considera aceptado cuando la funcionalidad ejecuta el flujo esperado, mantiene integridad de datos, respeta permisos y cuenta con evidencia técnica en código/pruebas.</t>
        </is>
      </c>
      <c r="V26" s="3" t="inlineStr">
        <is>
          <t>Validado contra matriz BOLT BOLT-WEB-025 y evidencia del repositorio.</t>
        </is>
      </c>
      <c r="W26" s="3" t="inlineStr">
        <is>
          <t>Pérdida de trazabilidad, falla funcional, exposición de datos o interrupción operativa según el módulo afectado.</t>
        </is>
      </c>
      <c r="X26" s="3" t="inlineStr">
        <is>
          <t>ISO/IEC 25010 / ISO/IEC 29119 / ISO/IEC 42001 / ISO 22301</t>
        </is>
      </c>
    </row>
    <row r="27">
      <c r="A27" s="3" t="inlineStr">
        <is>
          <t>RNF-011</t>
        </is>
      </c>
      <c r="B27" s="3" t="inlineStr">
        <is>
          <t>No funcional</t>
        </is>
      </c>
      <c r="C27" s="3" t="inlineStr">
        <is>
          <t>MP-11 — Calidad, DevOps y despliegue</t>
        </is>
      </c>
      <c r="D27" s="3" t="inlineStr">
        <is>
          <t>P-040</t>
        </is>
      </c>
      <c r="E27" s="3" t="inlineStr">
        <is>
          <t>Validar capacidad web mediante pruebas de estrés y carga con autocannon y k6, incluyendo evidencia de 2000 conexiones concurrentes.</t>
        </is>
      </c>
      <c r="F27" s="3" t="inlineStr">
        <is>
          <t>Equipo técnico / Administrador</t>
        </is>
      </c>
      <c r="G27" s="3" t="inlineStr">
        <is>
          <t>Alta</t>
        </is>
      </c>
      <c r="H27" s="3" t="inlineStr">
        <is>
          <t>OE4</t>
        </is>
      </c>
      <c r="I27" s="3" t="inlineStr">
        <is>
          <t>CU-026</t>
        </is>
      </c>
      <c r="J27" s="3" t="inlineStr">
        <is>
          <t>Rendimiento / Stress</t>
        </is>
      </c>
      <c r="K27" s="3" t="inlineStr">
        <is>
          <t>artifacts/load-tests/autocannon-home-c2000-20260528-231905.json:1; load-tests/scenarios/read-mixed-2000.js:31; artifacts/load-tests/summary-500.json:1; artifacts/load-tests/summary-1000.json:1</t>
        </is>
      </c>
      <c r="L27" s="3" t="inlineStr">
        <is>
          <t>ireHistorial, modeloEstado, ventasDiarias, productos</t>
        </is>
      </c>
      <c r="M27" s="3" t="inlineStr">
        <is>
          <t>Frontend React / BFF según evidencia</t>
        </is>
      </c>
      <c r="N27" s="3" t="inlineStr">
        <is>
          <t>CP-026</t>
        </is>
      </c>
      <c r="O27" s="3" t="inlineStr">
        <is>
          <t>Modelo IA / integración</t>
        </is>
      </c>
      <c r="P27" s="3" t="inlineStr">
        <is>
          <t>Ventas, stock, productos, métricas, historial e indicadores agregados</t>
        </is>
      </c>
      <c r="Q27" s="3" t="inlineStr">
        <is>
          <t>Rendimiento / Stress queda operativo, protegido y trazable según BOLT-WEB-026.</t>
        </is>
      </c>
      <c r="R27" s="3" t="inlineStr">
        <is>
          <t>artifacts/load-tests/autocannon-home-c2000-20260528-231905.json:1; load-tests/scenarios/read-mixed-2000.js:31; artifacts/load-tests/summary-500.json:1; artifacts/load-tests/summary-1000.json:1</t>
        </is>
      </c>
      <c r="S27" s="5" t="inlineStr">
        <is>
          <t>Implementado</t>
        </is>
      </c>
      <c r="T27" s="5" t="inlineStr">
        <is>
          <t>Ejecutado</t>
        </is>
      </c>
      <c r="U27" s="3" t="inlineStr">
        <is>
          <t>El requisito se considera aceptado cuando la funcionalidad ejecuta el flujo esperado, mantiene integridad de datos, respeta permisos y cuenta con evidencia técnica en código/pruebas.</t>
        </is>
      </c>
      <c r="V27" s="3" t="inlineStr">
        <is>
          <t>Validado contra matriz BOLT BOLT-WEB-026 y evidencia del repositorio.</t>
        </is>
      </c>
      <c r="W27" s="3" t="inlineStr">
        <is>
          <t>Pérdida de trazabilidad, falla funcional, exposición de datos o interrupción operativa según el módulo afectado.</t>
        </is>
      </c>
      <c r="X27" s="3" t="inlineStr">
        <is>
          <t>ISO/IEC 25010 / ISO/IEC 29119 / ISO/IEC 42001 / ISO 22301</t>
        </is>
      </c>
    </row>
    <row r="28">
      <c r="A28" s="3" t="inlineStr">
        <is>
          <t>RNF-012</t>
        </is>
      </c>
      <c r="B28" s="3" t="inlineStr">
        <is>
          <t>No funcional</t>
        </is>
      </c>
      <c r="C28" s="3" t="inlineStr">
        <is>
          <t>MP-11 — Calidad, DevOps y despliegue</t>
        </is>
      </c>
      <c r="D28" s="3" t="inlineStr">
        <is>
          <t>P-039</t>
        </is>
      </c>
      <c r="E28" s="3" t="inlineStr">
        <is>
          <t>Mantener continuidad operativa mediante readiness checks, restore drill y evidencia de recuperación.</t>
        </is>
      </c>
      <c r="F28" s="3" t="inlineStr">
        <is>
          <t>Equipo técnico / Administrador</t>
        </is>
      </c>
      <c r="G28" s="3" t="inlineStr">
        <is>
          <t>Alta</t>
        </is>
      </c>
      <c r="H28" s="3" t="inlineStr">
        <is>
          <t>OE4</t>
        </is>
      </c>
      <c r="I28" s="3" t="inlineStr">
        <is>
          <t>CU-027</t>
        </is>
      </c>
      <c r="J28" s="3" t="inlineStr">
        <is>
          <t>Continuidad</t>
        </is>
      </c>
      <c r="K28" s="3" t="inlineStr">
        <is>
          <t>.github/workflows/ops-controls.yml:1; artifacts/restore-drill/local-test.json:1; docs/ops/readiness.sample.json:1</t>
        </is>
      </c>
      <c r="L28" s="3" t="inlineStr">
        <is>
          <t>ireHistorial, modeloEstado, ventasDiarias, productos</t>
        </is>
      </c>
      <c r="M28" s="3" t="inlineStr">
        <is>
          <t>Frontend React / BFF según evidencia</t>
        </is>
      </c>
      <c r="N28" s="3" t="inlineStr">
        <is>
          <t>CP-027</t>
        </is>
      </c>
      <c r="O28" s="3" t="inlineStr">
        <is>
          <t>Modelo IA / integración</t>
        </is>
      </c>
      <c r="P28" s="3" t="inlineStr">
        <is>
          <t>Ventas, stock, productos, métricas, historial e indicadores agregados</t>
        </is>
      </c>
      <c r="Q28" s="3" t="inlineStr">
        <is>
          <t>Continuidad queda operativo, protegido y trazable según BOLT-WEB-027.</t>
        </is>
      </c>
      <c r="R28" s="3" t="inlineStr">
        <is>
          <t>.github/workflows/ops-controls.yml:1; artifacts/restore-drill/local-test.json:1; docs/ops/readiness.sample.json:1</t>
        </is>
      </c>
      <c r="S28" s="5" t="inlineStr">
        <is>
          <t>Implementado</t>
        </is>
      </c>
      <c r="T28" s="5" t="inlineStr">
        <is>
          <t>Ejecutado</t>
        </is>
      </c>
      <c r="U28" s="3" t="inlineStr">
        <is>
          <t>El requisito se considera aceptado cuando la funcionalidad ejecuta el flujo esperado, mantiene integridad de datos, respeta permisos y cuenta con evidencia técnica en código/pruebas.</t>
        </is>
      </c>
      <c r="V28" s="3" t="inlineStr">
        <is>
          <t>Validado contra matriz BOLT BOLT-WEB-027 y evidencia del repositorio.</t>
        </is>
      </c>
      <c r="W28" s="3" t="inlineStr">
        <is>
          <t>Pérdida de trazabilidad, falla funcional, exposición de datos o interrupción operativa según el módulo afectado.</t>
        </is>
      </c>
      <c r="X28" s="3" t="inlineStr">
        <is>
          <t>ISO/IEC 25010 / ISO/IEC 29119 / ISO/IEC 42001 / ISO 22301</t>
        </is>
      </c>
    </row>
    <row r="29">
      <c r="A29" s="3" t="inlineStr">
        <is>
          <t>RF-016</t>
        </is>
      </c>
      <c r="B29" s="3" t="inlineStr">
        <is>
          <t>Funcional</t>
        </is>
      </c>
      <c r="C29" s="3" t="inlineStr">
        <is>
          <t>MP-02 — Experiencia pública y captación digital</t>
        </is>
      </c>
      <c r="D29" s="3" t="inlineStr">
        <is>
          <t>P-004</t>
        </is>
      </c>
      <c r="E29" s="3" t="inlineStr">
        <is>
          <t>Gestionar campañas comerciales, outlet, nueva temporada y landings conectadas al catálogo.</t>
        </is>
      </c>
      <c r="F29" s="3" t="inlineStr">
        <is>
          <t>Administrador / Servicio IA</t>
        </is>
      </c>
      <c r="G29" s="3" t="inlineStr">
        <is>
          <t>Alta</t>
        </is>
      </c>
      <c r="H29" s="3" t="inlineStr">
        <is>
          <t>OE3</t>
        </is>
      </c>
      <c r="I29" s="3" t="inlineStr">
        <is>
          <t>CU-028</t>
        </is>
      </c>
      <c r="J29" s="3" t="inlineStr">
        <is>
          <t>Campañas</t>
        </is>
      </c>
      <c r="K29" s="3" t="inlineStr">
        <is>
          <t>calzatura-vilchez/src/domains/productos/components/ProductsPageCampaignSection.tsx:1; calzatura-vilchez/e2e/campaign-landings.spec.ts:1; calzatura-vilchez/e2e/admin-campana.spec.ts:84</t>
        </is>
      </c>
      <c r="L29" s="3" t="inlineStr">
        <is>
          <t>productos, productoCodigos, productoFinanzas</t>
        </is>
      </c>
      <c r="M29" s="3" t="inlineStr">
        <is>
          <t>Frontend React / BFF según evidencia</t>
        </is>
      </c>
      <c r="N29" s="3" t="inlineStr">
        <is>
          <t>CP-028</t>
        </is>
      </c>
      <c r="O29" s="3" t="inlineStr">
        <is>
          <t>Modelo IA / integración</t>
        </is>
      </c>
      <c r="P29" s="3" t="inlineStr">
        <is>
          <t>Ventas, stock, productos, métricas, historial e indicadores agregados</t>
        </is>
      </c>
      <c r="Q29" s="3" t="inlineStr">
        <is>
          <t>Campañas queda operativo, protegido y trazable según BOLT-WEB-028.</t>
        </is>
      </c>
      <c r="R29" s="3" t="inlineStr">
        <is>
          <t>calzatura-vilchez/src/domains/productos/components/ProductsPageCampaignSection.tsx:1; calzatura-vilchez/e2e/campaign-landings.spec.ts:1; calzatura-vilchez/e2e/admin-campana.spec.ts:84</t>
        </is>
      </c>
      <c r="S29" s="5" t="inlineStr">
        <is>
          <t>Implementado</t>
        </is>
      </c>
      <c r="T29" s="5" t="inlineStr">
        <is>
          <t>Ejecutado</t>
        </is>
      </c>
      <c r="U29" s="3" t="inlineStr">
        <is>
          <t>El requisito se considera aceptado cuando la funcionalidad ejecuta el flujo esperado, mantiene integridad de datos, respeta permisos y cuenta con evidencia técnica en código/pruebas.</t>
        </is>
      </c>
      <c r="V29" s="3" t="inlineStr">
        <is>
          <t>Validado contra matriz BOLT BOLT-WEB-028 y evidencia del repositorio.</t>
        </is>
      </c>
      <c r="W29" s="3" t="inlineStr">
        <is>
          <t>Pérdida de trazabilidad, falla funcional, exposición de datos o interrupción operativa según el módulo afectado.</t>
        </is>
      </c>
      <c r="X29" s="3" t="inlineStr">
        <is>
          <t>ISO/IEC 25010 / ISO/IEC 25012 / ISO/IEC 42001</t>
        </is>
      </c>
    </row>
    <row r="30">
      <c r="A30" s="3" t="inlineStr">
        <is>
          <t>RF-017</t>
        </is>
      </c>
      <c r="B30" s="3" t="inlineStr">
        <is>
          <t>Funcional</t>
        </is>
      </c>
      <c r="C30" s="3" t="inlineStr">
        <is>
          <t>MP-12 — Atención y cumplimiento legal del consumidor</t>
        </is>
      </c>
      <c r="D30" s="3" t="inlineStr">
        <is>
          <t>P-041</t>
        </is>
      </c>
      <c r="E30" s="3" t="inlineStr">
        <is>
          <t>Registrar, consultar y administrar hojas del libro de reclamaciones con validación, constancia y seguimiento.</t>
        </is>
      </c>
      <c r="F30" s="3" t="inlineStr">
        <is>
          <t>Visitante / Cliente</t>
        </is>
      </c>
      <c r="G30" s="3" t="inlineStr">
        <is>
          <t>Alta</t>
        </is>
      </c>
      <c r="H30" s="3" t="inlineStr">
        <is>
          <t>OE2</t>
        </is>
      </c>
      <c r="I30" s="3" t="inlineStr">
        <is>
          <t>CU-029</t>
        </is>
      </c>
      <c r="J30" s="3" t="inlineStr">
        <is>
          <t>Libro de reclamaciones</t>
        </is>
      </c>
      <c r="K30" s="3" t="inlineStr">
        <is>
          <t>calzatura-vilchez/src/domains/publico/components/ComplaintBookForm.tsx:1; calzatura-vilchez/bff/libroReclamaciones.cjs:1; calzatura-vilchez/src/__tests__/adminComplaints.test.ts:1</t>
        </is>
      </c>
      <c r="L30" s="3" t="inlineStr">
        <is>
          <t>libro_reclamaciones</t>
        </is>
      </c>
      <c r="M30" s="3" t="inlineStr">
        <is>
          <t>Frontend React / BFF según evidencia</t>
        </is>
      </c>
      <c r="N30" s="3" t="inlineStr">
        <is>
          <t>CP-029</t>
        </is>
      </c>
      <c r="O30" s="3" t="inlineStr">
        <is>
          <t>Modelo IA / integración</t>
        </is>
      </c>
      <c r="P30" s="3" t="inlineStr">
        <is>
          <t>Ventas, stock, productos, métricas, historial e indicadores agregados</t>
        </is>
      </c>
      <c r="Q30" s="3" t="inlineStr">
        <is>
          <t>Libro de reclamaciones queda operativo, protegido y trazable según BOLT-WEB-029.</t>
        </is>
      </c>
      <c r="R30" s="3" t="inlineStr">
        <is>
          <t>calzatura-vilchez/src/domains/publico/components/ComplaintBookForm.tsx:1; calzatura-vilchez/bff/libroReclamaciones.cjs:1; calzatura-vilchez/src/__tests__/adminComplaints.test.ts:1</t>
        </is>
      </c>
      <c r="S30" s="5" t="inlineStr">
        <is>
          <t>Implementado</t>
        </is>
      </c>
      <c r="T30" s="5" t="inlineStr">
        <is>
          <t>Ejecutado</t>
        </is>
      </c>
      <c r="U30" s="3" t="inlineStr">
        <is>
          <t>El requisito se considera aceptado cuando la funcionalidad ejecuta el flujo esperado, mantiene integridad de datos, respeta permisos y cuenta con evidencia técnica en código/pruebas.</t>
        </is>
      </c>
      <c r="V30" s="3" t="inlineStr">
        <is>
          <t>Validado contra matriz BOLT BOLT-WEB-029 y evidencia del repositorio.</t>
        </is>
      </c>
      <c r="W30" s="3" t="inlineStr">
        <is>
          <t>Pérdida de trazabilidad, falla funcional, exposición de datos o interrupción operativa según el módulo afectado.</t>
        </is>
      </c>
      <c r="X30" s="3" t="inlineStr">
        <is>
          <t>ISO/IEC 25010 / ISO/IEC 42001</t>
        </is>
      </c>
    </row>
    <row r="31">
      <c r="A31" s="3" t="inlineStr">
        <is>
          <t>RF-018</t>
        </is>
      </c>
      <c r="B31" s="3" t="inlineStr">
        <is>
          <t>Funcional</t>
        </is>
      </c>
      <c r="C31" s="3" t="inlineStr">
        <is>
          <t>MP-12 — Atención y cumplimiento legal del consumidor</t>
        </is>
      </c>
      <c r="D31" s="3" t="inlineStr">
        <is>
          <t>P-042</t>
        </is>
      </c>
      <c r="E31" s="3" t="inlineStr">
        <is>
          <t>Gestionar consentimiento de cookies mediante banner, modal de preferencias y almacenamiento controlado.</t>
        </is>
      </c>
      <c r="F31" s="3" t="inlineStr">
        <is>
          <t>Visitante / Cliente</t>
        </is>
      </c>
      <c r="G31" s="3" t="inlineStr">
        <is>
          <t>Alta</t>
        </is>
      </c>
      <c r="H31" s="3" t="inlineStr">
        <is>
          <t>OE2</t>
        </is>
      </c>
      <c r="I31" s="3" t="inlineStr">
        <is>
          <t>CU-030</t>
        </is>
      </c>
      <c r="J31" s="3" t="inlineStr">
        <is>
          <t>Privacidad / Cookies</t>
        </is>
      </c>
      <c r="K31" s="3" t="inlineStr">
        <is>
          <t>calzatura-vilchez/src/context/CookieConsentContext.tsx:1; calzatura-vilchez/src/components/cookies/CookieBanner.tsx:1; calzatura-vilchez/e2e/cookie-consent.spec.ts:1</t>
        </is>
      </c>
      <c r="L31" s="3" t="inlineStr">
        <is>
          <t>ireHistorial, modeloEstado, ventasDiarias, productos</t>
        </is>
      </c>
      <c r="M31" s="3" t="inlineStr">
        <is>
          <t>Frontend React / BFF según evidencia</t>
        </is>
      </c>
      <c r="N31" s="3" t="inlineStr">
        <is>
          <t>CP-030</t>
        </is>
      </c>
      <c r="O31" s="3" t="inlineStr">
        <is>
          <t>Modelo IA / integración</t>
        </is>
      </c>
      <c r="P31" s="3" t="inlineStr">
        <is>
          <t>Ventas, stock, productos, métricas, historial e indicadores agregados</t>
        </is>
      </c>
      <c r="Q31" s="3" t="inlineStr">
        <is>
          <t>Privacidad / Cookies queda operativo, protegido y trazable según BOLT-WEB-030.</t>
        </is>
      </c>
      <c r="R31" s="3" t="inlineStr">
        <is>
          <t>calzatura-vilchez/src/context/CookieConsentContext.tsx:1; calzatura-vilchez/src/components/cookies/CookieBanner.tsx:1; calzatura-vilchez/e2e/cookie-consent.spec.ts:1</t>
        </is>
      </c>
      <c r="S31" s="5" t="inlineStr">
        <is>
          <t>Implementado</t>
        </is>
      </c>
      <c r="T31" s="5" t="inlineStr">
        <is>
          <t>Ejecutado</t>
        </is>
      </c>
      <c r="U31" s="3" t="inlineStr">
        <is>
          <t>El requisito se considera aceptado cuando la funcionalidad ejecuta el flujo esperado, mantiene integridad de datos, respeta permisos y cuenta con evidencia técnica en código/pruebas.</t>
        </is>
      </c>
      <c r="V31" s="3" t="inlineStr">
        <is>
          <t>Validado contra matriz BOLT BOLT-WEB-030 y evidencia del repositorio.</t>
        </is>
      </c>
      <c r="W31" s="3" t="inlineStr">
        <is>
          <t>Pérdida de trazabilidad, falla funcional, exposición de datos o interrupción operativa según el módulo afectado.</t>
        </is>
      </c>
      <c r="X31" s="3" t="inlineStr">
        <is>
          <t>ISO/IEC 25010 / ISO/IEC 27701 / ISO/IEC 42001</t>
        </is>
      </c>
    </row>
    <row r="32">
      <c r="A32" s="3" t="inlineStr">
        <is>
          <t>RNF-013</t>
        </is>
      </c>
      <c r="B32" s="3" t="inlineStr">
        <is>
          <t>No funcional</t>
        </is>
      </c>
      <c r="C32" s="3" t="inlineStr">
        <is>
          <t>MP-11 — Calidad, DevOps y despliegue</t>
        </is>
      </c>
      <c r="D32" s="3" t="inlineStr">
        <is>
          <t>P-038</t>
        </is>
      </c>
      <c r="E32" s="3" t="inlineStr">
        <is>
          <t>Garantizar portabilidad mediante Docker, Docker Compose, Dockerfile frontend, servicio IA dockerizado y emulador Firebase.</t>
        </is>
      </c>
      <c r="F32" s="3" t="inlineStr">
        <is>
          <t>Equipo técnico / Administrador</t>
        </is>
      </c>
      <c r="G32" s="3" t="inlineStr">
        <is>
          <t>Alta</t>
        </is>
      </c>
      <c r="H32" s="3" t="inlineStr">
        <is>
          <t>OE4</t>
        </is>
      </c>
      <c r="I32" s="3" t="inlineStr">
        <is>
          <t>CU-031</t>
        </is>
      </c>
      <c r="J32" s="3" t="inlineStr">
        <is>
          <t>Docker / Portabilidad</t>
        </is>
      </c>
      <c r="K32" s="3" t="inlineStr">
        <is>
          <t>docker-compose.yml:1; calzatura-vilchez/Dockerfile:1; ai-service/Dockerfile:1; firebase-emulator/Dockerfile:1; .github/workflows/ci.yml:224</t>
        </is>
      </c>
      <c r="L32" s="3" t="inlineStr">
        <is>
          <t>ireHistorial, modeloEstado, ventasDiarias, productos</t>
        </is>
      </c>
      <c r="M32" s="3" t="inlineStr">
        <is>
          <t>Frontend React / BFF según evidencia</t>
        </is>
      </c>
      <c r="N32" s="3" t="inlineStr">
        <is>
          <t>CP-031</t>
        </is>
      </c>
      <c r="O32" s="3" t="inlineStr">
        <is>
          <t>Modelo IA / integración</t>
        </is>
      </c>
      <c r="P32" s="3" t="inlineStr">
        <is>
          <t>Ventas, stock, productos, métricas, historial e indicadores agregados</t>
        </is>
      </c>
      <c r="Q32" s="3" t="inlineStr">
        <is>
          <t>Docker / Portabilidad queda operativo, protegido y trazable según BOLT-WEB-031.</t>
        </is>
      </c>
      <c r="R32" s="3" t="inlineStr">
        <is>
          <t>docker-compose.yml:1; calzatura-vilchez/Dockerfile:1; ai-service/Dockerfile:1; firebase-emulator/Dockerfile:1; .github/workflows/ci.yml:224</t>
        </is>
      </c>
      <c r="S32" s="5" t="inlineStr">
        <is>
          <t>Implementado</t>
        </is>
      </c>
      <c r="T32" s="5" t="inlineStr">
        <is>
          <t>Ejecutado</t>
        </is>
      </c>
      <c r="U32" s="3" t="inlineStr">
        <is>
          <t>El requisito se considera aceptado cuando la funcionalidad ejecuta el flujo esperado, mantiene integridad de datos, respeta permisos y cuenta con evidencia técnica en código/pruebas.</t>
        </is>
      </c>
      <c r="V32" s="3" t="inlineStr">
        <is>
          <t>Validado contra matriz BOLT BOLT-WEB-031 y evidencia del repositorio.</t>
        </is>
      </c>
      <c r="W32" s="3" t="inlineStr">
        <is>
          <t>Pérdida de trazabilidad, falla funcional, exposición de datos o interrupción operativa según el módulo afectado.</t>
        </is>
      </c>
      <c r="X32" s="3" t="inlineStr">
        <is>
          <t>ISO/IEC 25010 / ISO/IEC 42001</t>
        </is>
      </c>
    </row>
    <row r="33">
      <c r="A33" s="3" t="inlineStr">
        <is>
          <t>RF-019</t>
        </is>
      </c>
      <c r="B33" s="3" t="inlineStr">
        <is>
          <t>Funcional</t>
        </is>
      </c>
      <c r="C33" s="3" t="inlineStr">
        <is>
          <t>MP-06 — Gestión de clientes y privacidad</t>
        </is>
      </c>
      <c r="D33" s="3" t="inlineStr">
        <is>
          <t>P-021</t>
        </is>
      </c>
      <c r="E33" s="3" t="inlineStr">
        <is>
          <t>Gestionar favoritos privados por cuenta para que cada cliente conserve sus productos de interés sin mezclar datos entre usuarios.</t>
        </is>
      </c>
      <c r="F33" s="3" t="inlineStr">
        <is>
          <t>Cliente</t>
        </is>
      </c>
      <c r="G33" s="3" t="inlineStr">
        <is>
          <t>Media</t>
        </is>
      </c>
      <c r="H33" s="3" t="inlineStr">
        <is>
          <t>OE2</t>
        </is>
      </c>
      <c r="I33" s="3" t="inlineStr">
        <is>
          <t>CU-032</t>
        </is>
      </c>
      <c r="J33" s="3" t="inlineStr">
        <is>
          <t>Cliente / Favoritos</t>
        </is>
      </c>
      <c r="K33" s="3" t="inlineStr">
        <is>
          <t>calzatura-vilchez/src/domains/clientes/context/FavoritesContext.tsx:70; calzatura-vilchez/src/domains/clientes/pages/FavoritesPage.tsx:13; calzatura-vilchez/e2e/favorites-isolation.spec.ts:52</t>
        </is>
      </c>
      <c r="L33" s="3" t="inlineStr">
        <is>
          <t>productos, productoCodigos, productoFinanzas</t>
        </is>
      </c>
      <c r="M33" s="3" t="inlineStr">
        <is>
          <t>GET /admin/products; POST /updateProductAtomic</t>
        </is>
      </c>
      <c r="N33" s="3" t="inlineStr">
        <is>
          <t>CP-032</t>
        </is>
      </c>
      <c r="O33" s="3" t="inlineStr">
        <is>
          <t>Caja negra / integración</t>
        </is>
      </c>
      <c r="P33" s="3" t="inlineStr">
        <is>
          <t>Datos de producto, talla, color, stock, categoría, precio y código</t>
        </is>
      </c>
      <c r="Q33" s="3" t="inlineStr">
        <is>
          <t>Cliente / Favoritos queda operativo, protegido y trazable según BOLT-WEB-032.</t>
        </is>
      </c>
      <c r="R33" s="3" t="inlineStr">
        <is>
          <t>calzatura-vilchez/src/domains/clientes/context/FavoritesContext.tsx:70; calzatura-vilchez/src/domains/clientes/pages/FavoritesPage.tsx:13; calzatura-vilchez/e2e/favorites-isolation.spec.ts:52</t>
        </is>
      </c>
      <c r="S33" s="5" t="inlineStr">
        <is>
          <t>Implementado</t>
        </is>
      </c>
      <c r="T33" s="5" t="inlineStr">
        <is>
          <t>Ejecutado</t>
        </is>
      </c>
      <c r="U33" s="3" t="inlineStr">
        <is>
          <t>El requisito se considera aceptado cuando la funcionalidad ejecuta el flujo esperado, mantiene integridad de datos, respeta permisos y cuenta con evidencia técnica en código/pruebas.</t>
        </is>
      </c>
      <c r="V33" s="3" t="inlineStr">
        <is>
          <t>Validado contra matriz BOLT BOLT-WEB-032 y evidencia del repositorio.</t>
        </is>
      </c>
      <c r="W33" s="3" t="inlineStr">
        <is>
          <t>Pérdida de trazabilidad, falla funcional, exposición de datos o interrupción operativa según el módulo afectado.</t>
        </is>
      </c>
      <c r="X33" s="3" t="inlineStr">
        <is>
          <t>ISO/IEC 25010 / ISO/IEC 27701 / ISO/IEC 25012</t>
        </is>
      </c>
    </row>
    <row r="34">
      <c r="A34" s="3" t="inlineStr">
        <is>
          <t>RF-020</t>
        </is>
      </c>
      <c r="B34" s="3" t="inlineStr">
        <is>
          <t>Funcional</t>
        </is>
      </c>
      <c r="C34" s="3" t="inlineStr">
        <is>
          <t>MP-06 — Gestión de clientes y privacidad</t>
        </is>
      </c>
      <c r="D34" s="3" t="inlineStr">
        <is>
          <t>P-020</t>
        </is>
      </c>
      <c r="E34" s="3" t="inlineStr">
        <is>
          <t>Permitir que el cliente gestione su perfil con validaciones de teléfono, dirección y errores claros sin degradar la identidad legal validada por DNI.</t>
        </is>
      </c>
      <c r="F34" s="3" t="inlineStr">
        <is>
          <t>Cliente</t>
        </is>
      </c>
      <c r="G34" s="3" t="inlineStr">
        <is>
          <t>Alta</t>
        </is>
      </c>
      <c r="H34" s="3" t="inlineStr">
        <is>
          <t>OE2</t>
        </is>
      </c>
      <c r="I34" s="3" t="inlineStr">
        <is>
          <t>CU-033</t>
        </is>
      </c>
      <c r="J34" s="3" t="inlineStr">
        <is>
          <t>Cliente / Perfil</t>
        </is>
      </c>
      <c r="K34" s="3" t="inlineStr">
        <is>
          <t>calzatura-vilchez/src/domains/usuarios/pages/ProfilePage.tsx:34; calzatura-vilchez/bff/server.cjs:3610; calzatura-vilchez/bff/server.cjs:3727; calzatura-vilchez/e2e/profile-save.spec.ts:34</t>
        </is>
      </c>
      <c r="L34" s="3" t="inlineStr">
        <is>
          <t>usuarios</t>
        </is>
      </c>
      <c r="M34" s="3" t="inlineStr">
        <is>
          <t>POST /lookup-dni</t>
        </is>
      </c>
      <c r="N34" s="3" t="inlineStr">
        <is>
          <t>CP-033</t>
        </is>
      </c>
      <c r="O34" s="3" t="inlineStr">
        <is>
          <t>Integración / seguridad</t>
        </is>
      </c>
      <c r="P34" s="3" t="inlineStr">
        <is>
          <t>Firebase token, DNI, correo, teléfono, rol o datos de perfil</t>
        </is>
      </c>
      <c r="Q34" s="3" t="inlineStr">
        <is>
          <t>Cliente / Perfil queda operativo, protegido y trazable según BOLT-WEB-033.</t>
        </is>
      </c>
      <c r="R34" s="3" t="inlineStr">
        <is>
          <t>calzatura-vilchez/src/domains/usuarios/pages/ProfilePage.tsx:34; calzatura-vilchez/bff/server.cjs:3610; calzatura-vilchez/bff/server.cjs:3727; calzatura-vilchez/e2e/profile-save.spec.ts:34</t>
        </is>
      </c>
      <c r="S34" s="5" t="inlineStr">
        <is>
          <t>Implementado</t>
        </is>
      </c>
      <c r="T34" s="5" t="inlineStr">
        <is>
          <t>Ejecutado</t>
        </is>
      </c>
      <c r="U34" s="3" t="inlineStr">
        <is>
          <t>El requisito se considera aceptado cuando la funcionalidad ejecuta el flujo esperado, mantiene integridad de datos, respeta permisos y cuenta con evidencia técnica en código/pruebas.</t>
        </is>
      </c>
      <c r="V34" s="3" t="inlineStr">
        <is>
          <t>Validado contra matriz BOLT BOLT-WEB-033 y evidencia del repositorio.</t>
        </is>
      </c>
      <c r="W34" s="3" t="inlineStr">
        <is>
          <t>Pérdida de trazabilidad, falla funcional, exposición de datos o interrupción operativa según el módulo afectado.</t>
        </is>
      </c>
      <c r="X34" s="3" t="inlineStr">
        <is>
          <t>ISO/IEC 25010 / ISO/IEC 27701</t>
        </is>
      </c>
    </row>
    <row r="35">
      <c r="A35" s="3" t="inlineStr">
        <is>
          <t>RF-021</t>
        </is>
      </c>
      <c r="B35" s="3" t="inlineStr">
        <is>
          <t>Funcional</t>
        </is>
      </c>
      <c r="C35" s="3" t="inlineStr">
        <is>
          <t>MP-05 — Gestión de pedidos y posventa</t>
        </is>
      </c>
      <c r="D35" s="3" t="inlineStr">
        <is>
          <t>P-017</t>
        </is>
      </c>
      <c r="E35" s="3" t="inlineStr">
        <is>
          <t>Mostrar historial de pedidos del cliente distinguiendo carga, lista vacía, fallo de red y detalle accesible de cada pedido.</t>
        </is>
      </c>
      <c r="F35" s="3" t="inlineStr">
        <is>
          <t>Cliente</t>
        </is>
      </c>
      <c r="G35" s="3" t="inlineStr">
        <is>
          <t>Alta</t>
        </is>
      </c>
      <c r="H35" s="3" t="inlineStr">
        <is>
          <t>OE3</t>
        </is>
      </c>
      <c r="I35" s="3" t="inlineStr">
        <is>
          <t>CU-034</t>
        </is>
      </c>
      <c r="J35" s="3" t="inlineStr">
        <is>
          <t>Pedidos cliente / Historial</t>
        </is>
      </c>
      <c r="K35" s="3" t="inlineStr">
        <is>
          <t>calzatura-vilchez/src/domains/pedidos/pages/OrderHistoryPage.tsx:16; calzatura-vilchez/src/domains/pedidos/pages/OrderHistoryPage.tsx:32; calzatura-vilchez/src/domains/pedidos/pages/OrderHistoryPage.tsx:89; calzatura-vilchez/bff/server.cjs:2805</t>
        </is>
      </c>
      <c r="L35" s="3" t="inlineStr">
        <is>
          <t>pedidos</t>
        </is>
      </c>
      <c r="M35" s="3" t="inlineStr">
        <is>
          <t>POST /createOrder; GET /myOrders; GET /admin/orders</t>
        </is>
      </c>
      <c r="N35" s="3" t="inlineStr">
        <is>
          <t>CP-034</t>
        </is>
      </c>
      <c r="O35" s="3" t="inlineStr">
        <is>
          <t>Modelo IA / integración</t>
        </is>
      </c>
      <c r="P35" s="3" t="inlineStr">
        <is>
          <t>Ventas, stock, productos, métricas, historial e indicadores agregados</t>
        </is>
      </c>
      <c r="Q35" s="3" t="inlineStr">
        <is>
          <t>Pedidos cliente / Historial queda operativo, protegido y trazable según BOLT-WEB-034.</t>
        </is>
      </c>
      <c r="R35" s="3" t="inlineStr">
        <is>
          <t>calzatura-vilchez/src/domains/pedidos/pages/OrderHistoryPage.tsx:16; calzatura-vilchez/src/domains/pedidos/pages/OrderHistoryPage.tsx:32; calzatura-vilchez/src/domains/pedidos/pages/OrderHistoryPage.tsx:89; calzatura-vilchez/bff/server.cjs:2805</t>
        </is>
      </c>
      <c r="S35" s="5" t="inlineStr">
        <is>
          <t>Implementado</t>
        </is>
      </c>
      <c r="T35" s="5" t="inlineStr">
        <is>
          <t>Ejecutado</t>
        </is>
      </c>
      <c r="U35" s="3" t="inlineStr">
        <is>
          <t>El requisito se considera aceptado cuando la funcionalidad ejecuta el flujo esperado, mantiene integridad de datos, respeta permisos y cuenta con evidencia técnica en código/pruebas.</t>
        </is>
      </c>
      <c r="V35" s="3" t="inlineStr">
        <is>
          <t>Validado contra matriz BOLT BOLT-WEB-034 y evidencia del repositorio.</t>
        </is>
      </c>
      <c r="W35" s="3" t="inlineStr">
        <is>
          <t>Pérdida de trazabilidad, falla funcional, exposición de datos o interrupción operativa según el módulo afectado.</t>
        </is>
      </c>
      <c r="X35" s="3" t="inlineStr">
        <is>
          <t>ISO/IEC 25010 / ISO/IEC 42001</t>
        </is>
      </c>
    </row>
    <row r="36">
      <c r="A36" s="3" t="inlineStr">
        <is>
          <t>RF-022</t>
        </is>
      </c>
      <c r="B36" s="3" t="inlineStr">
        <is>
          <t>Funcional</t>
        </is>
      </c>
      <c r="C36" s="3" t="inlineStr">
        <is>
          <t>MP-07 — Administración comercial</t>
        </is>
      </c>
      <c r="D36" s="3" t="inlineStr">
        <is>
          <t>P-023</t>
        </is>
      </c>
      <c r="E36" s="3" t="inlineStr">
        <is>
          <t>Consolidar el dashboard administrativo con KPIs, pedidos recientes, auditoría y estados de error/reintento para toma de decisiones.</t>
        </is>
      </c>
      <c r="F36" s="3" t="inlineStr">
        <is>
          <t>Administrador</t>
        </is>
      </c>
      <c r="G36" s="3" t="inlineStr">
        <is>
          <t>Alta</t>
        </is>
      </c>
      <c r="H36" s="3" t="inlineStr">
        <is>
          <t>OE3</t>
        </is>
      </c>
      <c r="I36" s="3" t="inlineStr">
        <is>
          <t>CU-035</t>
        </is>
      </c>
      <c r="J36" s="3" t="inlineStr">
        <is>
          <t>Admin / Dashboard</t>
        </is>
      </c>
      <c r="K36" s="3" t="inlineStr">
        <is>
          <t>calzatura-vilchez/src/domains/administradores/pages/AdminDashboard.tsx:331; calzatura-vilchez/src/domains/administradores/utils/adminDashboardMetrics.ts:60; calzatura-vilchez/e2e/admin-dashboard.spec.ts:131</t>
        </is>
      </c>
      <c r="L36" s="3" t="inlineStr">
        <is>
          <t>pedidos</t>
        </is>
      </c>
      <c r="M36" s="3" t="inlineStr">
        <is>
          <t>POST /createOrder; GET /myOrders; GET /admin/orders</t>
        </is>
      </c>
      <c r="N36" s="3" t="inlineStr">
        <is>
          <t>CP-035</t>
        </is>
      </c>
      <c r="O36" s="3" t="inlineStr">
        <is>
          <t>Modelo IA / integración</t>
        </is>
      </c>
      <c r="P36" s="3" t="inlineStr">
        <is>
          <t>Datos funcionales del módulo y sesión autorizada</t>
        </is>
      </c>
      <c r="Q36" s="3" t="inlineStr">
        <is>
          <t>Admin / Dashboard queda operativo, protegido y trazable según BOLT-WEB-035.</t>
        </is>
      </c>
      <c r="R36" s="3" t="inlineStr">
        <is>
          <t>calzatura-vilchez/src/domains/administradores/pages/AdminDashboard.tsx:331; calzatura-vilchez/src/domains/administradores/utils/adminDashboardMetrics.ts:60; calzatura-vilchez/e2e/admin-dashboard.spec.ts:131</t>
        </is>
      </c>
      <c r="S36" s="5" t="inlineStr">
        <is>
          <t>Implementado</t>
        </is>
      </c>
      <c r="T36" s="5" t="inlineStr">
        <is>
          <t>Ejecutado</t>
        </is>
      </c>
      <c r="U36" s="3" t="inlineStr">
        <is>
          <t>El requisito se considera aceptado cuando la funcionalidad ejecuta el flujo esperado, mantiene integridad de datos, respeta permisos y cuenta con evidencia técnica en código/pruebas.</t>
        </is>
      </c>
      <c r="V36" s="3" t="inlineStr">
        <is>
          <t>Validado contra matriz BOLT BOLT-WEB-035 y evidencia del repositorio.</t>
        </is>
      </c>
      <c r="W36" s="3" t="inlineStr">
        <is>
          <t>Pérdida de trazabilidad, falla funcional, exposición de datos o interrupción operativa según el módulo afectado.</t>
        </is>
      </c>
      <c r="X36" s="3" t="inlineStr">
        <is>
          <t>ISO/IEC 25010 / ISO/IEC 27001 / ISO/IEC 42001</t>
        </is>
      </c>
    </row>
    <row r="37">
      <c r="A37" s="3" t="inlineStr">
        <is>
          <t>RF-023</t>
        </is>
      </c>
      <c r="B37" s="3" t="inlineStr">
        <is>
          <t>Funcional</t>
        </is>
      </c>
      <c r="C37" s="3" t="inlineStr">
        <is>
          <t>MP-03 — Gestión de productos y catálogo digital</t>
        </is>
      </c>
      <c r="D37" s="3" t="inlineStr">
        <is>
          <t>P-010</t>
        </is>
      </c>
      <c r="E37" s="3" t="inlineStr">
        <is>
          <t>Gestionar imágenes de producto mediante firma de subida en servidor para mantener catálogo visual sin exponer secretos Cloudinary al navegador.</t>
        </is>
      </c>
      <c r="F37" s="3" t="inlineStr">
        <is>
          <t>Administrador</t>
        </is>
      </c>
      <c r="G37" s="3" t="inlineStr">
        <is>
          <t>Alta</t>
        </is>
      </c>
      <c r="H37" s="3" t="inlineStr">
        <is>
          <t>OE3</t>
        </is>
      </c>
      <c r="I37" s="3" t="inlineStr">
        <is>
          <t>CU-036</t>
        </is>
      </c>
      <c r="J37" s="3" t="inlineStr">
        <is>
          <t>Admin productos / Imágenes</t>
        </is>
      </c>
      <c r="K37" s="3" t="inlineStr">
        <is>
          <t>calzatura-vilchez/bff/cloudinarySign.cjs:6; calzatura-vilchez/bff/server.cjs:3172; calzatura-vilchez/src/domains/productos/pages/useAdminProductsPage.tsx:82; calzatura-vilchez/src/domains/productos/pages/adminProductsView/AdminProductEditGallery.tsx:5</t>
        </is>
      </c>
      <c r="L37" s="3" t="inlineStr">
        <is>
          <t>productos, productoCodigos, productoFinanzas</t>
        </is>
      </c>
      <c r="M37" s="3" t="inlineStr">
        <is>
          <t>GET /admin/products; POST /updateProductAtomic</t>
        </is>
      </c>
      <c r="N37" s="3" t="inlineStr">
        <is>
          <t>CP-036</t>
        </is>
      </c>
      <c r="O37" s="3" t="inlineStr">
        <is>
          <t>Modelo IA / integración</t>
        </is>
      </c>
      <c r="P37" s="3" t="inlineStr">
        <is>
          <t>Datos de producto, talla, color, stock, categoría, precio y código</t>
        </is>
      </c>
      <c r="Q37" s="3" t="inlineStr">
        <is>
          <t>Admin productos / Imágenes queda operativo, protegido y trazable según BOLT-WEB-036.</t>
        </is>
      </c>
      <c r="R37" s="3" t="inlineStr">
        <is>
          <t>calzatura-vilchez/bff/cloudinarySign.cjs:6; calzatura-vilchez/bff/server.cjs:3172; calzatura-vilchez/src/domains/productos/pages/useAdminProductsPage.tsx:82; calzatura-vilchez/src/domains/productos/pages/adminProductsView/AdminProductEditGallery.tsx:5</t>
        </is>
      </c>
      <c r="S37" s="5" t="inlineStr">
        <is>
          <t>Implementado</t>
        </is>
      </c>
      <c r="T37" s="5" t="inlineStr">
        <is>
          <t>Ejecutado</t>
        </is>
      </c>
      <c r="U37" s="3" t="inlineStr">
        <is>
          <t>El requisito se considera aceptado cuando la funcionalidad ejecuta el flujo esperado, mantiene integridad de datos, respeta permisos y cuenta con evidencia técnica en código/pruebas.</t>
        </is>
      </c>
      <c r="V37" s="3" t="inlineStr">
        <is>
          <t>Validado contra matriz BOLT BOLT-WEB-036 y evidencia del repositorio.</t>
        </is>
      </c>
      <c r="W37" s="3" t="inlineStr">
        <is>
          <t>Pérdida de trazabilidad, falla funcional, exposición de datos o interrupción operativa según el módulo afectado.</t>
        </is>
      </c>
      <c r="X37" s="3" t="inlineStr">
        <is>
          <t>ISO/IEC 25010 / ISO/IEC 25012 / ISO/IEC 42001</t>
        </is>
      </c>
    </row>
    <row r="38">
      <c r="A38" s="3" t="inlineStr">
        <is>
          <t>RF-024</t>
        </is>
      </c>
      <c r="B38" s="3" t="inlineStr">
        <is>
          <t>Funcional</t>
        </is>
      </c>
      <c r="C38" s="3" t="inlineStr">
        <is>
          <t>MP-04 — Gestión de carrito y compra web</t>
        </is>
      </c>
      <c r="D38" s="3" t="inlineStr">
        <is>
          <t>P-012</t>
        </is>
      </c>
      <c r="E38" s="3" t="inlineStr">
        <is>
          <t>Calcular entrega, distancia y costo de envío con validación de ubicación, degradación controlada del mapa y límites de zona antes de confirmar el pedido.</t>
        </is>
      </c>
      <c r="F38" s="3" t="inlineStr">
        <is>
          <t>Cliente</t>
        </is>
      </c>
      <c r="G38" s="3" t="inlineStr">
        <is>
          <t>Alta</t>
        </is>
      </c>
      <c r="H38" s="3" t="inlineStr">
        <is>
          <t>OE2</t>
        </is>
      </c>
      <c r="I38" s="3" t="inlineStr">
        <is>
          <t>CU-037</t>
        </is>
      </c>
      <c r="J38" s="3" t="inlineStr">
        <is>
          <t>Checkout / Entrega</t>
        </is>
      </c>
      <c r="K38" s="3" t="inlineStr">
        <is>
          <t>calzatura-vilchez/src/domains/carrito/components/CheckoutDeliveryBox.tsx:293; calzatura-vilchez/src/domains/carrito/components/CheckoutDeliveryMap.tsx:203; calzatura-vilchez/bff/deliveryPricing.cjs:2; calzatura-vilchez/bff/server.cjs:1520</t>
        </is>
      </c>
      <c r="L38" s="3" t="inlineStr">
        <is>
          <t>pedidos</t>
        </is>
      </c>
      <c r="M38" s="3" t="inlineStr">
        <is>
          <t>POST /createOrder; GET /myOrders; GET /admin/orders</t>
        </is>
      </c>
      <c r="N38" s="3" t="inlineStr">
        <is>
          <t>CP-037</t>
        </is>
      </c>
      <c r="O38" s="3" t="inlineStr">
        <is>
          <t>Modelo IA / integración</t>
        </is>
      </c>
      <c r="P38" s="3" t="inlineStr">
        <is>
          <t>Carrito, dirección, método de pago, stock, precio e idempotency key</t>
        </is>
      </c>
      <c r="Q38" s="3" t="inlineStr">
        <is>
          <t>Checkout / Entrega queda operativo, protegido y trazable según BOLT-WEB-037.</t>
        </is>
      </c>
      <c r="R38" s="3" t="inlineStr">
        <is>
          <t>calzatura-vilchez/src/domains/carrito/components/CheckoutDeliveryBox.tsx:293; calzatura-vilchez/src/domains/carrito/components/CheckoutDeliveryMap.tsx:203; calzatura-vilchez/bff/deliveryPricing.cjs:2; calzatura-vilchez/bff/server.cjs:1520</t>
        </is>
      </c>
      <c r="S38" s="5" t="inlineStr">
        <is>
          <t>Implementado</t>
        </is>
      </c>
      <c r="T38" s="5" t="inlineStr">
        <is>
          <t>Ejecutado</t>
        </is>
      </c>
      <c r="U38" s="3" t="inlineStr">
        <is>
          <t>El requisito se considera aceptado cuando la funcionalidad ejecuta el flujo esperado, mantiene integridad de datos, respeta permisos y cuenta con evidencia técnica en código/pruebas.</t>
        </is>
      </c>
      <c r="V38" s="3" t="inlineStr">
        <is>
          <t>Validado contra matriz BOLT BOLT-WEB-037 y evidencia del repositorio.</t>
        </is>
      </c>
      <c r="W38" s="3" t="inlineStr">
        <is>
          <t>Pérdida de trazabilidad, falla funcional, exposición de datos o interrupción operativa según el módulo afectado.</t>
        </is>
      </c>
      <c r="X38" s="3" t="inlineStr">
        <is>
          <t>ISO/IEC 25010 / ISO/IEC 42001</t>
        </is>
      </c>
    </row>
    <row r="39">
      <c r="A39" s="3" t="inlineStr">
        <is>
          <t>RF-025</t>
        </is>
      </c>
      <c r="B39" s="3" t="inlineStr">
        <is>
          <t>Funcional</t>
        </is>
      </c>
      <c r="C39" s="3" t="inlineStr">
        <is>
          <t>MP-07 — Administración comercial</t>
        </is>
      </c>
      <c r="D39" s="3" t="inlineStr">
        <is>
          <t>P-026</t>
        </is>
      </c>
      <c r="E39" s="3" t="inlineStr">
        <is>
          <t>Importar datos administrativos desde Excel con configuración por colección, validación previa, transformación de filas y envío al BFF.</t>
        </is>
      </c>
      <c r="F39" s="3" t="inlineStr">
        <is>
          <t>Administrador</t>
        </is>
      </c>
      <c r="G39" s="3" t="inlineStr">
        <is>
          <t>Alta</t>
        </is>
      </c>
      <c r="H39" s="3" t="inlineStr">
        <is>
          <t>OE2</t>
        </is>
      </c>
      <c r="I39" s="3" t="inlineStr">
        <is>
          <t>CU-038</t>
        </is>
      </c>
      <c r="J39" s="3" t="inlineStr">
        <is>
          <t>Admin datos / Importación Excel</t>
        </is>
      </c>
      <c r="K39" s="3" t="inlineStr">
        <is>
          <t>calzatura-vilchez/src/domains/administradores/pages/AdminData.tsx:975; calzatura-vilchez/src/domains/administradores/pages/AdminData.tsx:1060; calzatura-vilchez/src/domains/administradores/utils/importRules.ts:189; calzatura-vilchez/bff/server.cjs:2925</t>
        </is>
      </c>
      <c r="L39" s="3" t="inlineStr">
        <is>
          <t>productos, productoFinanzas, fabricantes, ventasDiarias</t>
        </is>
      </c>
      <c r="M39" s="3" t="inlineStr">
        <is>
          <t>GET /admin/data/export; POST /admin/data/import</t>
        </is>
      </c>
      <c r="N39" s="3" t="inlineStr">
        <is>
          <t>CP-038</t>
        </is>
      </c>
      <c r="O39" s="3" t="inlineStr">
        <is>
          <t>Modelo IA / integración</t>
        </is>
      </c>
      <c r="P39" s="3" t="inlineStr">
        <is>
          <t>Archivo .xlsx, colección, lote, escenario y filas validadas</t>
        </is>
      </c>
      <c r="Q39" s="3" t="inlineStr">
        <is>
          <t>Admin datos / Importación Excel queda operativo, protegido y trazable según BOLT-WEB-038.</t>
        </is>
      </c>
      <c r="R39" s="3" t="inlineStr">
        <is>
          <t>calzatura-vilchez/src/domains/administradores/pages/AdminData.tsx:975; calzatura-vilchez/src/domains/administradores/pages/AdminData.tsx:1060; calzatura-vilchez/src/domains/administradores/utils/importRules.ts:189; calzatura-vilchez/bff/server.cjs:2925</t>
        </is>
      </c>
      <c r="S39" s="5" t="inlineStr">
        <is>
          <t>Implementado</t>
        </is>
      </c>
      <c r="T39" s="5" t="inlineStr">
        <is>
          <t>Ejecutado</t>
        </is>
      </c>
      <c r="U39" s="3" t="inlineStr">
        <is>
          <t>El requisito se considera aceptado cuando la funcionalidad ejecuta el flujo esperado, mantiene integridad de datos, respeta permisos y cuenta con evidencia técnica en código/pruebas.</t>
        </is>
      </c>
      <c r="V39" s="3" t="inlineStr">
        <is>
          <t>Validado contra matriz BOLT BOLT-WEB-038 y evidencia del repositorio.</t>
        </is>
      </c>
      <c r="W39" s="3" t="inlineStr">
        <is>
          <t>Pérdida de trazabilidad, falla funcional, exposición de datos o interrupción operativa según el módulo afectado.</t>
        </is>
      </c>
      <c r="X39" s="3" t="inlineStr">
        <is>
          <t>ISO/IEC 25010 / ISO/IEC 25012 / ISO/IEC 42001</t>
        </is>
      </c>
    </row>
    <row r="40">
      <c r="A40" s="3" t="inlineStr">
        <is>
          <t>RF-026</t>
        </is>
      </c>
      <c r="B40" s="3" t="inlineStr">
        <is>
          <t>Funcional</t>
        </is>
      </c>
      <c r="C40" s="3" t="inlineStr">
        <is>
          <t>MP-07 — Administración comercial</t>
        </is>
      </c>
      <c r="D40" s="3" t="inlineStr">
        <is>
          <t>P-026</t>
        </is>
      </c>
      <c r="E40" s="3" t="inlineStr">
        <is>
          <t>Exportar plantillas, escenarios de prueba, productos, finanzas y ventas en formato Excel con sanitización de celdas para evitar fórmulas peligrosas.</t>
        </is>
      </c>
      <c r="F40" s="3" t="inlineStr">
        <is>
          <t>Administrador</t>
        </is>
      </c>
      <c r="G40" s="3" t="inlineStr">
        <is>
          <t>Alta</t>
        </is>
      </c>
      <c r="H40" s="3" t="inlineStr">
        <is>
          <t>OE2</t>
        </is>
      </c>
      <c r="I40" s="3" t="inlineStr">
        <is>
          <t>CU-039</t>
        </is>
      </c>
      <c r="J40" s="3" t="inlineStr">
        <is>
          <t>Admin datos / Exportación Excel</t>
        </is>
      </c>
      <c r="K40" s="3" t="inlineStr">
        <is>
          <t>calzatura-vilchez/src/domains/administradores/utils/spreadsheet.ts:52; calzatura-vilchez/src/domains/administradores/utils/spreadsheet.ts:67; calzatura-vilchez/src/domains/administradores/pages/AdminData.tsx:632; calzatura-vilchez/src/domains/administradores/pages/AdminData.tsx:969</t>
        </is>
      </c>
      <c r="L40" s="3" t="inlineStr">
        <is>
          <t>productos, productoCodigos, productoFinanzas</t>
        </is>
      </c>
      <c r="M40" s="3" t="inlineStr">
        <is>
          <t>GET /admin/data/export; POST /admin/data/import</t>
        </is>
      </c>
      <c r="N40" s="3" t="inlineStr">
        <is>
          <t>CP-039</t>
        </is>
      </c>
      <c r="O40" s="3" t="inlineStr">
        <is>
          <t>Caja negra / integración</t>
        </is>
      </c>
      <c r="P40" s="3" t="inlineStr">
        <is>
          <t>Datos de producto, talla, color, stock, categoría, precio y código</t>
        </is>
      </c>
      <c r="Q40" s="3" t="inlineStr">
        <is>
          <t>Admin datos / Exportación Excel queda operativo, protegido y trazable según BOLT-WEB-039.</t>
        </is>
      </c>
      <c r="R40" s="3" t="inlineStr">
        <is>
          <t>calzatura-vilchez/src/domains/administradores/utils/spreadsheet.ts:52; calzatura-vilchez/src/domains/administradores/utils/spreadsheet.ts:67; calzatura-vilchez/src/domains/administradores/pages/AdminData.tsx:632; calzatura-vilchez/src/domains/administradores/pages/AdminData.tsx:969</t>
        </is>
      </c>
      <c r="S40" s="5" t="inlineStr">
        <is>
          <t>Implementado</t>
        </is>
      </c>
      <c r="T40" s="5" t="inlineStr">
        <is>
          <t>Ejecutado</t>
        </is>
      </c>
      <c r="U40" s="3" t="inlineStr">
        <is>
          <t>El requisito se considera aceptado cuando la funcionalidad ejecuta el flujo esperado, mantiene integridad de datos, respeta permisos y cuenta con evidencia técnica en código/pruebas.</t>
        </is>
      </c>
      <c r="V40" s="3" t="inlineStr">
        <is>
          <t>Validado contra matriz BOLT BOLT-WEB-039 y evidencia del repositorio.</t>
        </is>
      </c>
      <c r="W40" s="3" t="inlineStr">
        <is>
          <t>Pérdida de trazabilidad, falla funcional, exposición de datos o interrupción operativa según el módulo afectado.</t>
        </is>
      </c>
      <c r="X40" s="3" t="inlineStr">
        <is>
          <t>ISO/IEC 25010 / ISO/IEC 25012 / ISO/IEC 29119</t>
        </is>
      </c>
    </row>
    <row r="41">
      <c r="A41" s="3" t="inlineStr">
        <is>
          <t>RF-027</t>
        </is>
      </c>
      <c r="B41" s="3" t="inlineStr">
        <is>
          <t>Funcional</t>
        </is>
      </c>
      <c r="C41" s="3" t="inlineStr">
        <is>
          <t>MP-07 — Administración comercial</t>
        </is>
      </c>
      <c r="D41" s="3" t="inlineStr">
        <is>
          <t>P-026</t>
        </is>
      </c>
      <c r="E41" s="3" t="inlineStr">
        <is>
          <t>Administrar datos de prueba importados por escenario, permitiendo identificar, listar y eliminar registros de prueba sin afectar datos reales.</t>
        </is>
      </c>
      <c r="F41" s="3" t="inlineStr">
        <is>
          <t>Administrador</t>
        </is>
      </c>
      <c r="G41" s="3" t="inlineStr">
        <is>
          <t>Alta</t>
        </is>
      </c>
      <c r="H41" s="3" t="inlineStr">
        <is>
          <t>OE2</t>
        </is>
      </c>
      <c r="I41" s="3" t="inlineStr">
        <is>
          <t>CU-040</t>
        </is>
      </c>
      <c r="J41" s="3" t="inlineStr">
        <is>
          <t>Admin datos / Escenarios</t>
        </is>
      </c>
      <c r="K41" s="3" t="inlineStr">
        <is>
          <t>calzatura-vilchez/src/domains/administradores/pages/AdminData.tsx:1193; calzatura-vilchez/src/domains/administradores/pages/AdminData.tsx:1506; calzatura-vilchez/bff/server.cjs:3043; calzatura-vilchez/bff/server.cjs:3057</t>
        </is>
      </c>
      <c r="L41" s="3" t="inlineStr">
        <is>
          <t>No aplica</t>
        </is>
      </c>
      <c r="M41" s="3" t="inlineStr">
        <is>
          <t>Frontend React / BFF según evidencia</t>
        </is>
      </c>
      <c r="N41" s="3" t="inlineStr">
        <is>
          <t>CP-040</t>
        </is>
      </c>
      <c r="O41" s="3" t="inlineStr">
        <is>
          <t>Caja negra / integración</t>
        </is>
      </c>
      <c r="P41" s="3" t="inlineStr">
        <is>
          <t>Datos funcionales del módulo y sesión autorizada</t>
        </is>
      </c>
      <c r="Q41" s="3" t="inlineStr">
        <is>
          <t>Admin datos / Escenarios queda operativo, protegido y trazable según BOLT-WEB-040.</t>
        </is>
      </c>
      <c r="R41" s="3" t="inlineStr">
        <is>
          <t>calzatura-vilchez/src/domains/administradores/pages/AdminData.tsx:1193; calzatura-vilchez/src/domains/administradores/pages/AdminData.tsx:1506; calzatura-vilchez/bff/server.cjs:3043; calzatura-vilchez/bff/server.cjs:3057</t>
        </is>
      </c>
      <c r="S41" s="5" t="inlineStr">
        <is>
          <t>Implementado</t>
        </is>
      </c>
      <c r="T41" s="5" t="inlineStr">
        <is>
          <t>Ejecutado</t>
        </is>
      </c>
      <c r="U41" s="3" t="inlineStr">
        <is>
          <t>El requisito se considera aceptado cuando la funcionalidad ejecuta el flujo esperado, mantiene integridad de datos, respeta permisos y cuenta con evidencia técnica en código/pruebas.</t>
        </is>
      </c>
      <c r="V41" s="3" t="inlineStr">
        <is>
          <t>Validado contra matriz BOLT BOLT-WEB-040 y evidencia del repositorio.</t>
        </is>
      </c>
      <c r="W41" s="3" t="inlineStr">
        <is>
          <t>Pérdida de trazabilidad, falla funcional, exposición de datos o interrupción operativa según el módulo afectado.</t>
        </is>
      </c>
      <c r="X41" s="3" t="inlineStr">
        <is>
          <t>ISO/IEC 25010 / ISO/IEC 25012 / ISO/IEC 29119</t>
        </is>
      </c>
    </row>
    <row r="42">
      <c r="A42" s="3" t="inlineStr">
        <is>
          <t>RF-028</t>
        </is>
      </c>
      <c r="B42" s="3" t="inlineStr">
        <is>
          <t>Funcional</t>
        </is>
      </c>
      <c r="C42" s="3" t="inlineStr">
        <is>
          <t>MP-07 — Administración comercial</t>
        </is>
      </c>
      <c r="D42" s="3" t="inlineStr">
        <is>
          <t>P-024</t>
        </is>
      </c>
      <c r="E42" s="3" t="inlineStr">
        <is>
          <t>Aplicar reglas comerciales de producto para categoría, tipo, estilo, material, costos, márgenes y precio público antes de persistir el catálogo.</t>
        </is>
      </c>
      <c r="F42" s="3" t="inlineStr">
        <is>
          <t>Administrador</t>
        </is>
      </c>
      <c r="G42" s="3" t="inlineStr">
        <is>
          <t>Alta</t>
        </is>
      </c>
      <c r="H42" s="3" t="inlineStr">
        <is>
          <t>OE3</t>
        </is>
      </c>
      <c r="I42" s="3" t="inlineStr">
        <is>
          <t>CU-041</t>
        </is>
      </c>
      <c r="J42" s="3" t="inlineStr">
        <is>
          <t>Admin productos / Reglas comerciales</t>
        </is>
      </c>
      <c r="K42" s="3" t="inlineStr">
        <is>
          <t>calzatura-vilchez/src/domains/productos/utils/commercialRules.ts:172; calzatura-vilchez/src/domains/productos/pages/adminProductsInternals.ts:284; calzatura-vilchez/e2e/admin-commercial-guards.spec.ts:73</t>
        </is>
      </c>
      <c r="L42" s="3" t="inlineStr">
        <is>
          <t>productos, productoCodigos, productoFinanzas</t>
        </is>
      </c>
      <c r="M42" s="3" t="inlineStr">
        <is>
          <t>GET /admin/products; POST /updateProductAtomic</t>
        </is>
      </c>
      <c r="N42" s="3" t="inlineStr">
        <is>
          <t>CP-041</t>
        </is>
      </c>
      <c r="O42" s="3" t="inlineStr">
        <is>
          <t>Modelo IA / integración</t>
        </is>
      </c>
      <c r="P42" s="3" t="inlineStr">
        <is>
          <t>Datos de producto, talla, color, stock, categoría, precio y código</t>
        </is>
      </c>
      <c r="Q42" s="3" t="inlineStr">
        <is>
          <t>Admin productos / Reglas comerciales queda operativo, protegido y trazable según BOLT-WEB-041.</t>
        </is>
      </c>
      <c r="R42" s="3" t="inlineStr">
        <is>
          <t>calzatura-vilchez/src/domains/productos/utils/commercialRules.ts:172; calzatura-vilchez/src/domains/productos/pages/adminProductsInternals.ts:284; calzatura-vilchez/e2e/admin-commercial-guards.spec.ts:73</t>
        </is>
      </c>
      <c r="S42" s="5" t="inlineStr">
        <is>
          <t>Implementado</t>
        </is>
      </c>
      <c r="T42" s="5" t="inlineStr">
        <is>
          <t>Ejecutado</t>
        </is>
      </c>
      <c r="U42" s="3" t="inlineStr">
        <is>
          <t>El requisito se considera aceptado cuando la funcionalidad ejecuta el flujo esperado, mantiene integridad de datos, respeta permisos y cuenta con evidencia técnica en código/pruebas.</t>
        </is>
      </c>
      <c r="V42" s="3" t="inlineStr">
        <is>
          <t>Validado contra matriz BOLT BOLT-WEB-041 y evidencia del repositorio.</t>
        </is>
      </c>
      <c r="W42" s="3" t="inlineStr">
        <is>
          <t>Pérdida de trazabilidad, falla funcional, exposición de datos o interrupción operativa según el módulo afectado.</t>
        </is>
      </c>
      <c r="X42" s="3" t="inlineStr">
        <is>
          <t>ISO/IEC 25010 / ISO/IEC 25012 / ISO/IEC 42001</t>
        </is>
      </c>
    </row>
    <row r="43">
      <c r="A43" s="3" t="inlineStr">
        <is>
          <t>RF-029</t>
        </is>
      </c>
      <c r="B43" s="3" t="inlineStr">
        <is>
          <t>Funcional</t>
        </is>
      </c>
      <c r="C43" s="3" t="inlineStr">
        <is>
          <t>MP-03 — Gestión de productos y catálogo digital</t>
        </is>
      </c>
      <c r="D43" s="3" t="inlineStr">
        <is>
          <t>P-009</t>
        </is>
      </c>
      <c r="E43" s="3" t="inlineStr">
        <is>
          <t>Evitar duplicidad de códigos de producto y variantes para sostener trazabilidad de stock, ventas, importaciones y auditoría.</t>
        </is>
      </c>
      <c r="F43" s="3" t="inlineStr">
        <is>
          <t>Administrador</t>
        </is>
      </c>
      <c r="G43" s="3" t="inlineStr">
        <is>
          <t>Alta</t>
        </is>
      </c>
      <c r="H43" s="3" t="inlineStr">
        <is>
          <t>OE3</t>
        </is>
      </c>
      <c r="I43" s="3" t="inlineStr">
        <is>
          <t>CU-042</t>
        </is>
      </c>
      <c r="J43" s="3" t="inlineStr">
        <is>
          <t>Admin productos / Códigos</t>
        </is>
      </c>
      <c r="K43" s="3" t="inlineStr">
        <is>
          <t>calzatura-vilchez/bff/server.cjs:405; calzatura-vilchez/bff/server.cjs:2129; calzatura-vilchez/bff/server.cjs:3431; calzatura-vilchez/e2e/admin-code-guards.spec.ts:100</t>
        </is>
      </c>
      <c r="L43" s="3" t="inlineStr">
        <is>
          <t>productos, productoCodigos, productoFinanzas</t>
        </is>
      </c>
      <c r="M43" s="3" t="inlineStr">
        <is>
          <t>POST /admin/dailySales/register; POST /admin/dailySales/return</t>
        </is>
      </c>
      <c r="N43" s="3" t="inlineStr">
        <is>
          <t>CP-042</t>
        </is>
      </c>
      <c r="O43" s="3" t="inlineStr">
        <is>
          <t>Modelo IA / integración</t>
        </is>
      </c>
      <c r="P43" s="3" t="inlineStr">
        <is>
          <t>Datos de producto, talla, color, stock, categoría, precio y código</t>
        </is>
      </c>
      <c r="Q43" s="3" t="inlineStr">
        <is>
          <t>Admin productos / Códigos queda operativo, protegido y trazable según BOLT-WEB-042.</t>
        </is>
      </c>
      <c r="R43" s="3" t="inlineStr">
        <is>
          <t>calzatura-vilchez/bff/server.cjs:405; calzatura-vilchez/bff/server.cjs:2129; calzatura-vilchez/bff/server.cjs:3431; calzatura-vilchez/e2e/admin-code-guards.spec.ts:100</t>
        </is>
      </c>
      <c r="S43" s="5" t="inlineStr">
        <is>
          <t>Implementado</t>
        </is>
      </c>
      <c r="T43" s="5" t="inlineStr">
        <is>
          <t>Ejecutado</t>
        </is>
      </c>
      <c r="U43" s="3" t="inlineStr">
        <is>
          <t>El requisito se considera aceptado cuando la funcionalidad ejecuta el flujo esperado, mantiene integridad de datos, respeta permisos y cuenta con evidencia técnica en código/pruebas.</t>
        </is>
      </c>
      <c r="V43" s="3" t="inlineStr">
        <is>
          <t>Validado contra matriz BOLT BOLT-WEB-042 y evidencia del repositorio.</t>
        </is>
      </c>
      <c r="W43" s="3" t="inlineStr">
        <is>
          <t>Pérdida de trazabilidad, falla funcional, exposición de datos o interrupción operativa según el módulo afectado.</t>
        </is>
      </c>
      <c r="X43" s="3" t="inlineStr">
        <is>
          <t>ISO/IEC 25010 / ISO/IEC 27001 / ISO/IEC 25012 / ISO/IEC 42001</t>
        </is>
      </c>
    </row>
    <row r="44">
      <c r="A44" s="3" t="inlineStr">
        <is>
          <t>RF-030</t>
        </is>
      </c>
      <c r="B44" s="3" t="inlineStr">
        <is>
          <t>Funcional</t>
        </is>
      </c>
      <c r="C44" s="3" t="inlineStr">
        <is>
          <t>MP-07 — Administración comercial</t>
        </is>
      </c>
      <c r="D44" s="3" t="inlineStr">
        <is>
          <t>P-024</t>
        </is>
      </c>
      <c r="E44" s="3" t="inlineStr">
        <is>
          <t>Proteger información financiera de producto para que costos y márgenes no queden expuestos en el catálogo público ni en escrituras directas del cliente.</t>
        </is>
      </c>
      <c r="F44" s="3" t="inlineStr">
        <is>
          <t>Administrador</t>
        </is>
      </c>
      <c r="G44" s="3" t="inlineStr">
        <is>
          <t>Alta</t>
        </is>
      </c>
      <c r="H44" s="3" t="inlineStr">
        <is>
          <t>OE3</t>
        </is>
      </c>
      <c r="I44" s="3" t="inlineStr">
        <is>
          <t>CU-043</t>
        </is>
      </c>
      <c r="J44" s="3" t="inlineStr">
        <is>
          <t>Admin productos / Finanzas</t>
        </is>
      </c>
      <c r="K44" s="3" t="inlineStr">
        <is>
          <t>calzatura-vilchez/bff/server.cjs:3193; calzatura-vilchez/bff/server.cjs:3226; calzatura-vilchez/bff/server.cjs:3247; calzatura-vilchez/supabase/migrations/20260519150000_harden_admin_rpcs_bff_only.sql:1</t>
        </is>
      </c>
      <c r="L44" s="3" t="inlineStr">
        <is>
          <t>productos, productoCodigos, productoFinanzas</t>
        </is>
      </c>
      <c r="M44" s="3" t="inlineStr">
        <is>
          <t>GET /admin/products; POST /updateProductAtomic</t>
        </is>
      </c>
      <c r="N44" s="3" t="inlineStr">
        <is>
          <t>CP-043</t>
        </is>
      </c>
      <c r="O44" s="3" t="inlineStr">
        <is>
          <t>Modelo IA / integración</t>
        </is>
      </c>
      <c r="P44" s="3" t="inlineStr">
        <is>
          <t>Datos de producto, talla, color, stock, categoría, precio y código</t>
        </is>
      </c>
      <c r="Q44" s="3" t="inlineStr">
        <is>
          <t>Admin productos / Finanzas queda operativo, protegido y trazable según BOLT-WEB-043.</t>
        </is>
      </c>
      <c r="R44" s="3" t="inlineStr">
        <is>
          <t>calzatura-vilchez/bff/server.cjs:3193; calzatura-vilchez/bff/server.cjs:3226; calzatura-vilchez/bff/server.cjs:3247; calzatura-vilchez/supabase/migrations/20260519150000_harden_admin_rpcs_bff_only.sql:1</t>
        </is>
      </c>
      <c r="S44" s="5" t="inlineStr">
        <is>
          <t>Implementado</t>
        </is>
      </c>
      <c r="T44" s="5" t="inlineStr">
        <is>
          <t>Ejecutado</t>
        </is>
      </c>
      <c r="U44" s="3" t="inlineStr">
        <is>
          <t>El requisito se considera aceptado cuando la funcionalidad ejecuta el flujo esperado, mantiene integridad de datos, respeta permisos y cuenta con evidencia técnica en código/pruebas.</t>
        </is>
      </c>
      <c r="V44" s="3" t="inlineStr">
        <is>
          <t>Validado contra matriz BOLT BOLT-WEB-043 y evidencia del repositorio.</t>
        </is>
      </c>
      <c r="W44" s="3" t="inlineStr">
        <is>
          <t>Pérdida de trazabilidad, falla funcional, exposición de datos o interrupción operativa según el módulo afectado.</t>
        </is>
      </c>
      <c r="X44" s="3" t="inlineStr">
        <is>
          <t>ISO/IEC 25010 / ISO/IEC 25012 / ISO/IEC 42001</t>
        </is>
      </c>
    </row>
    <row r="45">
      <c r="A45" s="3" t="inlineStr">
        <is>
          <t>RNF-014</t>
        </is>
      </c>
      <c r="B45" s="3" t="inlineStr">
        <is>
          <t>No funcional</t>
        </is>
      </c>
      <c r="C45" s="3" t="inlineStr">
        <is>
          <t>MP-09 — Seguridad, privacidad y base de datos</t>
        </is>
      </c>
      <c r="D45" s="3" t="inlineStr">
        <is>
          <t>P-031</t>
        </is>
      </c>
      <c r="E45" s="3" t="inlineStr">
        <is>
          <t>Impedir que el frontend web reintroduzca escrituras directas a tablas sensibles de Supabase fuera del BFF autorizado.</t>
        </is>
      </c>
      <c r="F45" s="3" t="inlineStr">
        <is>
          <t>Equipo técnico / Administrador</t>
        </is>
      </c>
      <c r="G45" s="3" t="inlineStr">
        <is>
          <t>Alta</t>
        </is>
      </c>
      <c r="H45" s="3" t="inlineStr">
        <is>
          <t>OE4</t>
        </is>
      </c>
      <c r="I45" s="3" t="inlineStr">
        <is>
          <t>CU-044</t>
        </is>
      </c>
      <c r="J45" s="3" t="inlineStr">
        <is>
          <t>Supabase / Anti-regresión</t>
        </is>
      </c>
      <c r="K45" s="3" t="inlineStr">
        <is>
          <t>calzatura-vilchez/src/__tests__/supabaseDirectAccessGuard.test.js:1; calzatura-vilchez/supabase/RLS-MATRIX.md:9; calzatura-vilchez/supabase/rls-matrix.contract.json:2</t>
        </is>
      </c>
      <c r="L45" s="3" t="inlineStr">
        <is>
          <t>pedidos, usuarios, auditoria, productoFinanzas</t>
        </is>
      </c>
      <c r="M45" s="3" t="inlineStr">
        <is>
          <t>Frontend React / BFF según evidencia</t>
        </is>
      </c>
      <c r="N45" s="3" t="inlineStr">
        <is>
          <t>CP-044</t>
        </is>
      </c>
      <c r="O45" s="3" t="inlineStr">
        <is>
          <t>Caja blanca / calidad</t>
        </is>
      </c>
      <c r="P45" s="3" t="inlineStr">
        <is>
          <t>Datos funcionales del módulo y sesión autorizada</t>
        </is>
      </c>
      <c r="Q45" s="3" t="inlineStr">
        <is>
          <t>Supabase / Anti-regresión queda operativo, protegido y trazable según BOLT-WEB-044.</t>
        </is>
      </c>
      <c r="R45" s="3" t="inlineStr">
        <is>
          <t>calzatura-vilchez/src/__tests__/supabaseDirectAccessGuard.test.js:1; calzatura-vilchez/supabase/RLS-MATRIX.md:9; calzatura-vilchez/supabase/rls-matrix.contract.json:2</t>
        </is>
      </c>
      <c r="S45" s="5" t="inlineStr">
        <is>
          <t>Implementado</t>
        </is>
      </c>
      <c r="T45" s="5" t="inlineStr">
        <is>
          <t>Ejecutado</t>
        </is>
      </c>
      <c r="U45" s="3" t="inlineStr">
        <is>
          <t>El requisito se considera aceptado cuando la funcionalidad ejecuta el flujo esperado, mantiene integridad de datos, respeta permisos y cuenta con evidencia técnica en código/pruebas.</t>
        </is>
      </c>
      <c r="V45" s="3" t="inlineStr">
        <is>
          <t>Validado contra matriz BOLT BOLT-WEB-044 y evidencia del repositorio.</t>
        </is>
      </c>
      <c r="W45" s="3" t="inlineStr">
        <is>
          <t>Pérdida de trazabilidad, falla funcional, exposición de datos o interrupción operativa según el módulo afectado.</t>
        </is>
      </c>
      <c r="X45" s="3" t="inlineStr">
        <is>
          <t>ISO/IEC 25010 / ISO/IEC 25012</t>
        </is>
      </c>
    </row>
    <row r="46">
      <c r="A46" s="3" t="inlineStr">
        <is>
          <t>RNF-015</t>
        </is>
      </c>
      <c r="B46" s="3" t="inlineStr">
        <is>
          <t>No funcional</t>
        </is>
      </c>
      <c r="C46" s="3" t="inlineStr">
        <is>
          <t>MP-09 — Seguridad, privacidad y base de datos</t>
        </is>
      </c>
      <c r="D46" s="3" t="inlineStr">
        <is>
          <t>P-031</t>
        </is>
      </c>
      <c r="E46" s="3" t="inlineStr">
        <is>
          <t>Validar matriz RLS de Supabase para asegurar que tablas, RPC y permisos públicos/autenticados mantengan el modelo de acceso previsto.</t>
        </is>
      </c>
      <c r="F46" s="3" t="inlineStr">
        <is>
          <t>Equipo técnico / Administrador</t>
        </is>
      </c>
      <c r="G46" s="3" t="inlineStr">
        <is>
          <t>Alta</t>
        </is>
      </c>
      <c r="H46" s="3" t="inlineStr">
        <is>
          <t>OE4</t>
        </is>
      </c>
      <c r="I46" s="3" t="inlineStr">
        <is>
          <t>CU-045</t>
        </is>
      </c>
      <c r="J46" s="3" t="inlineStr">
        <is>
          <t>Supabase / RLS</t>
        </is>
      </c>
      <c r="K46" s="3" t="inlineStr">
        <is>
          <t>calzatura-vilchez/supabase/RLS-MATRIX.md:1; calzatura-vilchez/supabase/migrations/20260529140000_harden_anon_authenticated_data_plane.sql:2; calzatura-vilchez/supabase/migrations/20260531200000_supabase_security_linter_remediation.sql:51</t>
        </is>
      </c>
      <c r="L46" s="3" t="inlineStr">
        <is>
          <t>ireHistorial, modeloEstado, ventasDiarias, productos</t>
        </is>
      </c>
      <c r="M46" s="3" t="inlineStr">
        <is>
          <t>Frontend React / BFF según evidencia</t>
        </is>
      </c>
      <c r="N46" s="3" t="inlineStr">
        <is>
          <t>CP-045</t>
        </is>
      </c>
      <c r="O46" s="3" t="inlineStr">
        <is>
          <t>Integración / seguridad</t>
        </is>
      </c>
      <c r="P46" s="3" t="inlineStr">
        <is>
          <t>Datos funcionales del módulo y sesión autorizada</t>
        </is>
      </c>
      <c r="Q46" s="3" t="inlineStr">
        <is>
          <t>Supabase / RLS queda operativo, protegido y trazable según BOLT-WEB-045.</t>
        </is>
      </c>
      <c r="R46" s="3" t="inlineStr">
        <is>
          <t>calzatura-vilchez/supabase/RLS-MATRIX.md:1; calzatura-vilchez/supabase/migrations/20260529140000_harden_anon_authenticated_data_plane.sql:2; calzatura-vilchez/supabase/migrations/20260531200000_supabase_security_linter_remediation.sql:51</t>
        </is>
      </c>
      <c r="S46" s="5" t="inlineStr">
        <is>
          <t>Implementado</t>
        </is>
      </c>
      <c r="T46" s="5" t="inlineStr">
        <is>
          <t>Ejecutado</t>
        </is>
      </c>
      <c r="U46" s="3" t="inlineStr">
        <is>
          <t>El requisito se considera aceptado cuando la funcionalidad ejecuta el flujo esperado, mantiene integridad de datos, respeta permisos y cuenta con evidencia técnica en código/pruebas.</t>
        </is>
      </c>
      <c r="V46" s="3" t="inlineStr">
        <is>
          <t>Validado contra matriz BOLT BOLT-WEB-045 y evidencia del repositorio.</t>
        </is>
      </c>
      <c r="W46" s="3" t="inlineStr">
        <is>
          <t>Pérdida de trazabilidad, falla funcional, exposición de datos o interrupción operativa según el módulo afectado.</t>
        </is>
      </c>
      <c r="X46" s="3" t="inlineStr">
        <is>
          <t>ISO/IEC 25010 / ISO/IEC 27001 / ISO/IEC 25012</t>
        </is>
      </c>
    </row>
    <row r="47">
      <c r="A47" s="3" t="inlineStr">
        <is>
          <t>RNF-016</t>
        </is>
      </c>
      <c r="B47" s="3" t="inlineStr">
        <is>
          <t>No funcional</t>
        </is>
      </c>
      <c r="C47" s="3" t="inlineStr">
        <is>
          <t>MP-09 — Seguridad, privacidad y base de datos</t>
        </is>
      </c>
      <c r="D47" s="3" t="inlineStr">
        <is>
          <t>P-032</t>
        </is>
      </c>
      <c r="E47" s="3" t="inlineStr">
        <is>
          <t>Redactar PII en auditoría histórica y en inserciones nuevas para evitar exposición de DNI, correos, teléfonos, direcciones y nombres personales.</t>
        </is>
      </c>
      <c r="F47" s="3" t="inlineStr">
        <is>
          <t>Equipo técnico / Administrador</t>
        </is>
      </c>
      <c r="G47" s="3" t="inlineStr">
        <is>
          <t>Alta</t>
        </is>
      </c>
      <c r="H47" s="3" t="inlineStr">
        <is>
          <t>OE4</t>
        </is>
      </c>
      <c r="I47" s="3" t="inlineStr">
        <is>
          <t>CU-046</t>
        </is>
      </c>
      <c r="J47" s="3" t="inlineStr">
        <is>
          <t>Auditoría / PII</t>
        </is>
      </c>
      <c r="K47" s="3" t="inlineStr">
        <is>
          <t>calzatura-vilchez/supabase/migrations/20260521130000_redact_historical_auditoria_pii.sql:1; calzatura-vilchez/supabase/migrations/20260530150000_auditoria_pii_enforce_at_insert.sql:2; calzatura-vilchez/src/__tests__/bffAuditEndpointPolicy.test.js:22</t>
        </is>
      </c>
      <c r="L47" s="3" t="inlineStr">
        <is>
          <t>usuarios</t>
        </is>
      </c>
      <c r="M47" s="3" t="inlineStr">
        <is>
          <t>POST /lookup-dni</t>
        </is>
      </c>
      <c r="N47" s="3" t="inlineStr">
        <is>
          <t>CP-046</t>
        </is>
      </c>
      <c r="O47" s="3" t="inlineStr">
        <is>
          <t>Integración / seguridad</t>
        </is>
      </c>
      <c r="P47" s="3" t="inlineStr">
        <is>
          <t>Firebase token, DNI, correo, teléfono, rol o datos de perfil</t>
        </is>
      </c>
      <c r="Q47" s="3" t="inlineStr">
        <is>
          <t>Auditoría / PII queda operativo, protegido y trazable según BOLT-WEB-046.</t>
        </is>
      </c>
      <c r="R47" s="3" t="inlineStr">
        <is>
          <t>calzatura-vilchez/supabase/migrations/20260521130000_redact_historical_auditoria_pii.sql:1; calzatura-vilchez/supabase/migrations/20260530150000_auditoria_pii_enforce_at_insert.sql:2; calzatura-vilchez/src/__tests__/bffAuditEndpointPolicy.test.js:22</t>
        </is>
      </c>
      <c r="S47" s="5" t="inlineStr">
        <is>
          <t>Implementado</t>
        </is>
      </c>
      <c r="T47" s="5" t="inlineStr">
        <is>
          <t>Ejecutado</t>
        </is>
      </c>
      <c r="U47" s="3" t="inlineStr">
        <is>
          <t>El requisito se considera aceptado cuando la funcionalidad ejecuta el flujo esperado, mantiene integridad de datos, respeta permisos y cuenta con evidencia técnica en código/pruebas.</t>
        </is>
      </c>
      <c r="V47" s="3" t="inlineStr">
        <is>
          <t>Validado contra matriz BOLT BOLT-WEB-046 y evidencia del repositorio.</t>
        </is>
      </c>
      <c r="W47" s="3" t="inlineStr">
        <is>
          <t>Pérdida de trazabilidad, falla funcional, exposición de datos o interrupción operativa según el módulo afectado.</t>
        </is>
      </c>
      <c r="X47" s="3" t="inlineStr">
        <is>
          <t>ISO/IEC 25010 / ISO/IEC 27001 / ISO/IEC 27701</t>
        </is>
      </c>
    </row>
    <row r="48">
      <c r="A48" s="3" t="inlineStr">
        <is>
          <t>RF-031</t>
        </is>
      </c>
      <c r="B48" s="3" t="inlineStr">
        <is>
          <t>Funcional</t>
        </is>
      </c>
      <c r="C48" s="3" t="inlineStr">
        <is>
          <t>MP-05 — Gestión de pedidos y posventa</t>
        </is>
      </c>
      <c r="D48" s="3" t="inlineStr">
        <is>
          <t>P-018</t>
        </is>
      </c>
      <c r="E48" s="3" t="inlineStr">
        <is>
          <t>Mantener una máquina de estados única para pedidos, usada tanto por BFF como por Cloud Functions heredadas, evitando transiciones inválidas.</t>
        </is>
      </c>
      <c r="F48" s="3" t="inlineStr">
        <is>
          <t>Visitante / Cliente</t>
        </is>
      </c>
      <c r="G48" s="3" t="inlineStr">
        <is>
          <t>Alta</t>
        </is>
      </c>
      <c r="H48" s="3" t="inlineStr">
        <is>
          <t>OE2</t>
        </is>
      </c>
      <c r="I48" s="3" t="inlineStr">
        <is>
          <t>CU-047</t>
        </is>
      </c>
      <c r="J48" s="3" t="inlineStr">
        <is>
          <t>Pedidos / Estados</t>
        </is>
      </c>
      <c r="K48" s="3" t="inlineStr">
        <is>
          <t>calzatura-vilchez/functions/orderStatusPolicy.js:16; calzatura-vilchez/bff/server.cjs:1811; calzatura-vilchez/bff/server.cjs:2735; calzatura-vilchez/src/__tests__/bffOrderStatusPolicy.test.js:9</t>
        </is>
      </c>
      <c r="L48" s="3" t="inlineStr">
        <is>
          <t>pedidos</t>
        </is>
      </c>
      <c r="M48" s="3" t="inlineStr">
        <is>
          <t>POST /createOrder; GET /myOrders; GET /admin/orders</t>
        </is>
      </c>
      <c r="N48" s="3" t="inlineStr">
        <is>
          <t>CP-047</t>
        </is>
      </c>
      <c r="O48" s="3" t="inlineStr">
        <is>
          <t>Caja negra / integración</t>
        </is>
      </c>
      <c r="P48" s="3" t="inlineStr">
        <is>
          <t>Datos funcionales del módulo y sesión autorizada</t>
        </is>
      </c>
      <c r="Q48" s="3" t="inlineStr">
        <is>
          <t>Pedidos / Estados queda operativo, protegido y trazable según BOLT-WEB-047.</t>
        </is>
      </c>
      <c r="R48" s="3" t="inlineStr">
        <is>
          <t>calzatura-vilchez/functions/orderStatusPolicy.js:16; calzatura-vilchez/bff/server.cjs:1811; calzatura-vilchez/bff/server.cjs:2735; calzatura-vilchez/src/__tests__/bffOrderStatusPolicy.test.js:9</t>
        </is>
      </c>
      <c r="S48" s="5" t="inlineStr">
        <is>
          <t>Implementado</t>
        </is>
      </c>
      <c r="T48" s="5" t="inlineStr">
        <is>
          <t>Ejecutado</t>
        </is>
      </c>
      <c r="U48" s="3" t="inlineStr">
        <is>
          <t>El requisito se considera aceptado cuando la funcionalidad ejecuta el flujo esperado, mantiene integridad de datos, respeta permisos y cuenta con evidencia técnica en código/pruebas.</t>
        </is>
      </c>
      <c r="V48" s="3" t="inlineStr">
        <is>
          <t>Validado contra matriz BOLT BOLT-WEB-047 y evidencia del repositorio.</t>
        </is>
      </c>
      <c r="W48" s="3" t="inlineStr">
        <is>
          <t>Pérdida de trazabilidad, falla funcional, exposición de datos o interrupción operativa según el módulo afectado.</t>
        </is>
      </c>
      <c r="X48" s="3" t="inlineStr">
        <is>
          <t>ISO/IEC 25010</t>
        </is>
      </c>
    </row>
    <row r="49">
      <c r="A49" s="3" t="inlineStr">
        <is>
          <t>RNF-017</t>
        </is>
      </c>
      <c r="B49" s="3" t="inlineStr">
        <is>
          <t>No funcional</t>
        </is>
      </c>
      <c r="C49" s="3" t="inlineStr">
        <is>
          <t>MP-09 — Seguridad, privacidad y base de datos</t>
        </is>
      </c>
      <c r="D49" s="3" t="inlineStr">
        <is>
          <t>P-033</t>
        </is>
      </c>
      <c r="E49" s="3" t="inlineStr">
        <is>
          <t>Aplicar rate limiting e identificación de IP de cliente para reducir abuso en endpoints públicos como login, DNI, catálogo y cotización de entrega.</t>
        </is>
      </c>
      <c r="F49" s="3" t="inlineStr">
        <is>
          <t>Equipo técnico / Administrador</t>
        </is>
      </c>
      <c r="G49" s="3" t="inlineStr">
        <is>
          <t>Alta</t>
        </is>
      </c>
      <c r="H49" s="3" t="inlineStr">
        <is>
          <t>OE4</t>
        </is>
      </c>
      <c r="I49" s="3" t="inlineStr">
        <is>
          <t>CU-048</t>
        </is>
      </c>
      <c r="J49" s="3" t="inlineStr">
        <is>
          <t>BFF / Rate limit</t>
        </is>
      </c>
      <c r="K49" s="3" t="inlineStr">
        <is>
          <t>calzatura-vilchez/bff/publicRateLimit.cjs:7; calzatura-vilchez/bff/publicRateLimit.cjs:76; calzatura-vilchez/bff/clientIp.cjs:17; calzatura-vilchez/bff/server.cjs:1500</t>
        </is>
      </c>
      <c r="L49" s="3" t="inlineStr">
        <is>
          <t>usuarios</t>
        </is>
      </c>
      <c r="M49" s="3" t="inlineStr">
        <is>
          <t>POST /lookup-dni</t>
        </is>
      </c>
      <c r="N49" s="3" t="inlineStr">
        <is>
          <t>CP-048</t>
        </is>
      </c>
      <c r="O49" s="3" t="inlineStr">
        <is>
          <t>Integración / seguridad</t>
        </is>
      </c>
      <c r="P49" s="3" t="inlineStr">
        <is>
          <t>Firebase token, DNI, correo, teléfono, rol o datos de perfil</t>
        </is>
      </c>
      <c r="Q49" s="3" t="inlineStr">
        <is>
          <t>BFF / Rate limit queda operativo, protegido y trazable según BOLT-WEB-048.</t>
        </is>
      </c>
      <c r="R49" s="3" t="inlineStr">
        <is>
          <t>calzatura-vilchez/bff/publicRateLimit.cjs:7; calzatura-vilchez/bff/publicRateLimit.cjs:76; calzatura-vilchez/bff/clientIp.cjs:17; calzatura-vilchez/bff/server.cjs:1500</t>
        </is>
      </c>
      <c r="S49" s="5" t="inlineStr">
        <is>
          <t>Implementado</t>
        </is>
      </c>
      <c r="T49" s="5" t="inlineStr">
        <is>
          <t>Ejecutado</t>
        </is>
      </c>
      <c r="U49" s="3" t="inlineStr">
        <is>
          <t>El requisito se considera aceptado cuando la funcionalidad ejecuta el flujo esperado, mantiene integridad de datos, respeta permisos y cuenta con evidencia técnica en código/pruebas.</t>
        </is>
      </c>
      <c r="V49" s="3" t="inlineStr">
        <is>
          <t>Validado contra matriz BOLT BOLT-WEB-048 y evidencia del repositorio.</t>
        </is>
      </c>
      <c r="W49" s="3" t="inlineStr">
        <is>
          <t>Pérdida de trazabilidad, falla funcional, exposición de datos o interrupción operativa según el módulo afectado.</t>
        </is>
      </c>
      <c r="X49" s="3" t="inlineStr">
        <is>
          <t>ISO/IEC 25010 / ISO/IEC 27001 / ISO/IEC 27701 / ISO/IEC 25012</t>
        </is>
      </c>
    </row>
    <row r="50">
      <c r="A50" s="3" t="inlineStr">
        <is>
          <t>RF-032</t>
        </is>
      </c>
      <c r="B50" s="3" t="inlineStr">
        <is>
          <t>Funcional</t>
        </is>
      </c>
      <c r="C50" s="3" t="inlineStr">
        <is>
          <t>MP-08 — Ventas físicas y operación de tienda</t>
        </is>
      </c>
      <c r="D50" s="3" t="inlineStr">
        <is>
          <t>P-030</t>
        </is>
      </c>
      <c r="E50" s="3" t="inlineStr">
        <is>
          <t>Permitir ventas físicas al trabajador con panel acotado, validación de stock por talla y registro atómico de venta.</t>
        </is>
      </c>
      <c r="F50" s="3" t="inlineStr">
        <is>
          <t>Trabajador / Administrador</t>
        </is>
      </c>
      <c r="G50" s="3" t="inlineStr">
        <is>
          <t>Alta</t>
        </is>
      </c>
      <c r="H50" s="3" t="inlineStr">
        <is>
          <t>OE2</t>
        </is>
      </c>
      <c r="I50" s="3" t="inlineStr">
        <is>
          <t>CU-049</t>
        </is>
      </c>
      <c r="J50" s="3" t="inlineStr">
        <is>
          <t>Trabajador / Ventas</t>
        </is>
      </c>
      <c r="K50" s="3" t="inlineStr">
        <is>
          <t>calzatura-vilchez/src/domains/trabajadores/pages/StaffSales.tsx:4; calzatura-vilchez/src/domains/trabajadores/components/StaffLayout.tsx:10; calzatura-vilchez/bff/server.cjs:2092; calzatura-vilchez/e2e/admin-sales.spec.ts:143</t>
        </is>
      </c>
      <c r="L50" s="3" t="inlineStr">
        <is>
          <t>ventasDiarias, productos</t>
        </is>
      </c>
      <c r="M50" s="3" t="inlineStr">
        <is>
          <t>POST /admin/dailySales/register; POST /admin/dailySales/return</t>
        </is>
      </c>
      <c r="N50" s="3" t="inlineStr">
        <is>
          <t>CP-049</t>
        </is>
      </c>
      <c r="O50" s="3" t="inlineStr">
        <is>
          <t>Caja negra / integración</t>
        </is>
      </c>
      <c r="P50" s="3" t="inlineStr">
        <is>
          <t>Producto, talla, cantidad, precio, documento y motivo si es devolución</t>
        </is>
      </c>
      <c r="Q50" s="3" t="inlineStr">
        <is>
          <t>Trabajador / Ventas queda operativo, protegido y trazable según BOLT-WEB-049.</t>
        </is>
      </c>
      <c r="R50" s="3" t="inlineStr">
        <is>
          <t>calzatura-vilchez/src/domains/trabajadores/pages/StaffSales.tsx:4; calzatura-vilchez/src/domains/trabajadores/components/StaffLayout.tsx:10; calzatura-vilchez/bff/server.cjs:2092; calzatura-vilchez/e2e/admin-sales.spec.ts:143</t>
        </is>
      </c>
      <c r="S50" s="5" t="inlineStr">
        <is>
          <t>Implementado</t>
        </is>
      </c>
      <c r="T50" s="5" t="inlineStr">
        <is>
          <t>Ejecutado</t>
        </is>
      </c>
      <c r="U50" s="3" t="inlineStr">
        <is>
          <t>El requisito se considera aceptado cuando la funcionalidad ejecuta el flujo esperado, mantiene integridad de datos, respeta permisos y cuenta con evidencia técnica en código/pruebas.</t>
        </is>
      </c>
      <c r="V50" s="3" t="inlineStr">
        <is>
          <t>Validado contra matriz BOLT BOLT-WEB-049 y evidencia del repositorio.</t>
        </is>
      </c>
      <c r="W50" s="3" t="inlineStr">
        <is>
          <t>Pérdida de trazabilidad, falla funcional, exposición de datos o interrupción operativa según el módulo afectado.</t>
        </is>
      </c>
      <c r="X50" s="3" t="inlineStr">
        <is>
          <t>ISO/IEC 25010</t>
        </is>
      </c>
    </row>
    <row r="51">
      <c r="A51" s="3" t="inlineStr">
        <is>
          <t>RF-033</t>
        </is>
      </c>
      <c r="B51" s="3" t="inlineStr">
        <is>
          <t>Funcional</t>
        </is>
      </c>
      <c r="C51" s="3" t="inlineStr">
        <is>
          <t>MP-06 — Gestión de clientes y privacidad</t>
        </is>
      </c>
      <c r="D51" s="3" t="inlineStr">
        <is>
          <t>P-019</t>
        </is>
      </c>
      <c r="E51" s="3" t="inlineStr">
        <is>
          <t>Registrar usuarios con validaciones de DNI, correo, celular, contraseña y confirmación, mostrando errores accesibles por campo.</t>
        </is>
      </c>
      <c r="F51" s="3" t="inlineStr">
        <is>
          <t>Cliente</t>
        </is>
      </c>
      <c r="G51" s="3" t="inlineStr">
        <is>
          <t>Alta</t>
        </is>
      </c>
      <c r="H51" s="3" t="inlineStr">
        <is>
          <t>OE1</t>
        </is>
      </c>
      <c r="I51" s="3" t="inlineStr">
        <is>
          <t>CU-050</t>
        </is>
      </c>
      <c r="J51" s="3" t="inlineStr">
        <is>
          <t>Público / Registro</t>
        </is>
      </c>
      <c r="K51" s="3" t="inlineStr">
        <is>
          <t>calzatura-vilchez/src/domains/publico/pages/Register.tsx:15; calzatura-vilchez/src/domains/publico/pages/registerFormValidation.ts:30; calzatura-vilchez/src/domains/usuarios/services/dni.ts:26; calzatura-vilchez/bff/server.cjs:1500</t>
        </is>
      </c>
      <c r="L51" s="3" t="inlineStr">
        <is>
          <t>usuarios</t>
        </is>
      </c>
      <c r="M51" s="3" t="inlineStr">
        <is>
          <t>POST /lookup-dni</t>
        </is>
      </c>
      <c r="N51" s="3" t="inlineStr">
        <is>
          <t>CP-050</t>
        </is>
      </c>
      <c r="O51" s="3" t="inlineStr">
        <is>
          <t>Integración / seguridad</t>
        </is>
      </c>
      <c r="P51" s="3" t="inlineStr">
        <is>
          <t>Firebase token, DNI, correo, teléfono, rol o datos de perfil</t>
        </is>
      </c>
      <c r="Q51" s="3" t="inlineStr">
        <is>
          <t>Público / Registro queda operativo, protegido y trazable según BOLT-WEB-050.</t>
        </is>
      </c>
      <c r="R51" s="3" t="inlineStr">
        <is>
          <t>calzatura-vilchez/src/domains/publico/pages/Register.tsx:15; calzatura-vilchez/src/domains/publico/pages/registerFormValidation.ts:30; calzatura-vilchez/src/domains/usuarios/services/dni.ts:26; calzatura-vilchez/bff/server.cjs:1500</t>
        </is>
      </c>
      <c r="S51" s="5" t="inlineStr">
        <is>
          <t>Implementado</t>
        </is>
      </c>
      <c r="T51" s="5" t="inlineStr">
        <is>
          <t>Ejecutado</t>
        </is>
      </c>
      <c r="U51" s="3" t="inlineStr">
        <is>
          <t>El requisito se considera aceptado cuando la funcionalidad ejecuta el flujo esperado, mantiene integridad de datos, respeta permisos y cuenta con evidencia técnica en código/pruebas.</t>
        </is>
      </c>
      <c r="V51" s="3" t="inlineStr">
        <is>
          <t>Validado contra matriz BOLT BOLT-WEB-050 y evidencia del repositorio.</t>
        </is>
      </c>
      <c r="W51" s="3" t="inlineStr">
        <is>
          <t>Pérdida de trazabilidad, falla funcional, exposición de datos o interrupción operativa según el módulo afectado.</t>
        </is>
      </c>
      <c r="X51" s="3" t="inlineStr">
        <is>
          <t>ISO/IEC 25010 / ISO/IEC 27701</t>
        </is>
      </c>
    </row>
    <row r="52">
      <c r="A52" s="3" t="inlineStr">
        <is>
          <t>RNF-018</t>
        </is>
      </c>
      <c r="B52" s="3" t="inlineStr">
        <is>
          <t>No funcional</t>
        </is>
      </c>
      <c r="C52" s="3" t="inlineStr">
        <is>
          <t>MP-09 — Seguridad, privacidad y base de datos</t>
        </is>
      </c>
      <c r="D52" s="3" t="inlineStr">
        <is>
          <t>P-033</t>
        </is>
      </c>
      <c r="E52" s="3" t="inlineStr">
        <is>
          <t>Validar App Check y reCAPTCHA en producción para proteger endpoints de identidad sin subir secretos privados al frontend.</t>
        </is>
      </c>
      <c r="F52" s="3" t="inlineStr">
        <is>
          <t>Equipo técnico / Administrador</t>
        </is>
      </c>
      <c r="G52" s="3" t="inlineStr">
        <is>
          <t>Alta</t>
        </is>
      </c>
      <c r="H52" s="3" t="inlineStr">
        <is>
          <t>OE4</t>
        </is>
      </c>
      <c r="I52" s="3" t="inlineStr">
        <is>
          <t>CU-051</t>
        </is>
      </c>
      <c r="J52" s="3" t="inlineStr">
        <is>
          <t>Firebase / App Check</t>
        </is>
      </c>
      <c r="K52" s="3" t="inlineStr">
        <is>
          <t>calzatura-vilchez/bff/server.cjs:67; calzatura-vilchez/bff/server.cjs:1500; scripts/verify-deploy-firebase-secrets.mjs:1; calzatura-vilchez/bff/env.example:83</t>
        </is>
      </c>
      <c r="L52" s="3" t="inlineStr">
        <is>
          <t>No aplica</t>
        </is>
      </c>
      <c r="M52" s="3" t="inlineStr">
        <is>
          <t>Frontend React / BFF según evidencia</t>
        </is>
      </c>
      <c r="N52" s="3" t="inlineStr">
        <is>
          <t>CP-051</t>
        </is>
      </c>
      <c r="O52" s="3" t="inlineStr">
        <is>
          <t>Integración / seguridad</t>
        </is>
      </c>
      <c r="P52" s="3" t="inlineStr">
        <is>
          <t>Datos funcionales del módulo y sesión autorizada</t>
        </is>
      </c>
      <c r="Q52" s="3" t="inlineStr">
        <is>
          <t>Firebase / App Check queda operativo, protegido y trazable según BOLT-WEB-051.</t>
        </is>
      </c>
      <c r="R52" s="3" t="inlineStr">
        <is>
          <t>calzatura-vilchez/bff/server.cjs:67; calzatura-vilchez/bff/server.cjs:1500; scripts/verify-deploy-firebase-secrets.mjs:1; calzatura-vilchez/bff/env.example:83</t>
        </is>
      </c>
      <c r="S52" s="5" t="inlineStr">
        <is>
          <t>Implementado</t>
        </is>
      </c>
      <c r="T52" s="5" t="inlineStr">
        <is>
          <t>Ejecutado</t>
        </is>
      </c>
      <c r="U52" s="3" t="inlineStr">
        <is>
          <t>El requisito se considera aceptado cuando la funcionalidad ejecuta el flujo esperado, mantiene integridad de datos, respeta permisos y cuenta con evidencia técnica en código/pruebas.</t>
        </is>
      </c>
      <c r="V52" s="3" t="inlineStr">
        <is>
          <t>Validado contra matriz BOLT BOLT-WEB-051 y evidencia del repositorio.</t>
        </is>
      </c>
      <c r="W52" s="3" t="inlineStr">
        <is>
          <t>Pérdida de trazabilidad, falla funcional, exposición de datos o interrupción operativa según el módulo afectado.</t>
        </is>
      </c>
      <c r="X52" s="3" t="inlineStr">
        <is>
          <t>ISO/IEC 25010 / ISO/IEC 27001</t>
        </is>
      </c>
    </row>
    <row r="53">
      <c r="A53" s="3" t="inlineStr">
        <is>
          <t>RNF-019</t>
        </is>
      </c>
      <c r="B53" s="3" t="inlineStr">
        <is>
          <t>No funcional</t>
        </is>
      </c>
      <c r="C53" s="3" t="inlineStr">
        <is>
          <t>MP-11 — Calidad, DevOps y despliegue</t>
        </is>
      </c>
      <c r="D53" s="3" t="inlineStr">
        <is>
          <t>P-039</t>
        </is>
      </c>
      <c r="E53" s="3" t="inlineStr">
        <is>
          <t>Ejecutar controles de continuidad operativa con readiness checks, restore drill versionado y evidencia de recuperación.</t>
        </is>
      </c>
      <c r="F53" s="3" t="inlineStr">
        <is>
          <t>Equipo técnico / Administrador</t>
        </is>
      </c>
      <c r="G53" s="3" t="inlineStr">
        <is>
          <t>Alta</t>
        </is>
      </c>
      <c r="H53" s="3" t="inlineStr">
        <is>
          <t>OE4</t>
        </is>
      </c>
      <c r="I53" s="3" t="inlineStr">
        <is>
          <t>CU-052</t>
        </is>
      </c>
      <c r="J53" s="3" t="inlineStr">
        <is>
          <t>DevOps / Continuidad</t>
        </is>
      </c>
      <c r="K53" s="3" t="inlineStr">
        <is>
          <t>.github/workflows/ops-controls.yml:1; artifacts/restore-drill/local-test.json:1; docs/ops/readiness.sample.json:1</t>
        </is>
      </c>
      <c r="L53" s="3" t="inlineStr">
        <is>
          <t>ireHistorial, modeloEstado, ventasDiarias, productos</t>
        </is>
      </c>
      <c r="M53" s="3" t="inlineStr">
        <is>
          <t>Frontend React / BFF según evidencia</t>
        </is>
      </c>
      <c r="N53" s="3" t="inlineStr">
        <is>
          <t>CP-052</t>
        </is>
      </c>
      <c r="O53" s="3" t="inlineStr">
        <is>
          <t>Modelo IA / integración</t>
        </is>
      </c>
      <c r="P53" s="3" t="inlineStr">
        <is>
          <t>Ventas, stock, productos, métricas, historial e indicadores agregados</t>
        </is>
      </c>
      <c r="Q53" s="3" t="inlineStr">
        <is>
          <t>DevOps / Continuidad queda operativo, protegido y trazable según BOLT-WEB-052.</t>
        </is>
      </c>
      <c r="R53" s="3" t="inlineStr">
        <is>
          <t>.github/workflows/ops-controls.yml:1; artifacts/restore-drill/local-test.json:1; docs/ops/readiness.sample.json:1</t>
        </is>
      </c>
      <c r="S53" s="5" t="inlineStr">
        <is>
          <t>Implementado</t>
        </is>
      </c>
      <c r="T53" s="5" t="inlineStr">
        <is>
          <t>Ejecutado</t>
        </is>
      </c>
      <c r="U53" s="3" t="inlineStr">
        <is>
          <t>El requisito se considera aceptado cuando la funcionalidad ejecuta el flujo esperado, mantiene integridad de datos, respeta permisos y cuenta con evidencia técnica en código/pruebas.</t>
        </is>
      </c>
      <c r="V53" s="3" t="inlineStr">
        <is>
          <t>Validado contra matriz BOLT BOLT-WEB-052 y evidencia del repositorio.</t>
        </is>
      </c>
      <c r="W53" s="3" t="inlineStr">
        <is>
          <t>Pérdida de trazabilidad, falla funcional, exposición de datos o interrupción operativa según el módulo afectado.</t>
        </is>
      </c>
      <c r="X53" s="3" t="inlineStr">
        <is>
          <t>ISO/IEC 25010 / ISO/IEC 42001 / ISO 22301</t>
        </is>
      </c>
    </row>
    <row r="54">
      <c r="A54" s="3" t="inlineStr">
        <is>
          <t>RNF-020</t>
        </is>
      </c>
      <c r="B54" s="3" t="inlineStr">
        <is>
          <t>No funcional</t>
        </is>
      </c>
      <c r="C54" s="3" t="inlineStr">
        <is>
          <t>MP-10 — Inteligencia artificial y analítica</t>
        </is>
      </c>
      <c r="D54" s="3" t="inlineStr">
        <is>
          <t>P-036</t>
        </is>
      </c>
      <c r="E54" s="3" t="inlineStr">
        <is>
          <t>Controlar backtesting, suficiencia de datos, reporte de calidad y métricas de predicción para que la IA sea auditable.</t>
        </is>
      </c>
      <c r="F54" s="3" t="inlineStr">
        <is>
          <t>Administrador / Servicio IA</t>
        </is>
      </c>
      <c r="G54" s="3" t="inlineStr">
        <is>
          <t>Alta</t>
        </is>
      </c>
      <c r="H54" s="3" t="inlineStr">
        <is>
          <t>OE3</t>
        </is>
      </c>
      <c r="I54" s="3" t="inlineStr">
        <is>
          <t>CU-053</t>
        </is>
      </c>
      <c r="J54" s="3" t="inlineStr">
        <is>
          <t>IA / Gobierno de modelo</t>
        </is>
      </c>
      <c r="K54" s="3" t="inlineStr">
        <is>
          <t>calzatura-vilchez/src/domains/administradores/pages/AdminPredictions.tsx:5; calzatura-vilchez/src/domains/administradores/predictions/AdminPredictionsDashboardTabs.tsx:425; scripts/ai-backtest-gate.mjs:1; ai-service/scripts/generate_sonar_generic_coverage.py:1</t>
        </is>
      </c>
      <c r="L54" s="3" t="inlineStr">
        <is>
          <t>ireHistorial, modeloEstado, ventasDiarias, productos</t>
        </is>
      </c>
      <c r="M54" s="3" t="inlineStr">
        <is>
          <t>Frontend React / BFF según evidencia</t>
        </is>
      </c>
      <c r="N54" s="3" t="inlineStr">
        <is>
          <t>CP-053</t>
        </is>
      </c>
      <c r="O54" s="3" t="inlineStr">
        <is>
          <t>Modelo IA / integración</t>
        </is>
      </c>
      <c r="P54" s="3" t="inlineStr">
        <is>
          <t>Ventas, stock, productos, métricas, historial e indicadores agregados</t>
        </is>
      </c>
      <c r="Q54" s="3" t="inlineStr">
        <is>
          <t>IA / Gobierno de modelo queda operativo, protegido y trazable según BOLT-WEB-053.</t>
        </is>
      </c>
      <c r="R54" s="3" t="inlineStr">
        <is>
          <t>calzatura-vilchez/src/domains/administradores/pages/AdminPredictions.tsx:5; calzatura-vilchez/src/domains/administradores/predictions/AdminPredictionsDashboardTabs.tsx:425; scripts/ai-backtest-gate.mjs:1; ai-service/scripts/generate_sonar_generic_coverage.py:1</t>
        </is>
      </c>
      <c r="S54" s="5" t="inlineStr">
        <is>
          <t>Implementado</t>
        </is>
      </c>
      <c r="T54" s="5" t="inlineStr">
        <is>
          <t>Ejecutado</t>
        </is>
      </c>
      <c r="U54" s="3" t="inlineStr">
        <is>
          <t>El requisito se considera aceptado cuando la funcionalidad ejecuta el flujo esperado, mantiene integridad de datos, respeta permisos y cuenta con evidencia técnica en código/pruebas.</t>
        </is>
      </c>
      <c r="V54" s="3" t="inlineStr">
        <is>
          <t>Validado contra matriz BOLT BOLT-WEB-053 y evidencia del repositorio.</t>
        </is>
      </c>
      <c r="W54" s="3" t="inlineStr">
        <is>
          <t>Pérdida de trazabilidad, falla funcional, exposición de datos o interrupción operativa según el módulo afectado.</t>
        </is>
      </c>
      <c r="X54" s="3" t="inlineStr">
        <is>
          <t>ISO/IEC 25010 / ISO/IEC 25012 / ISO/IEC 42001</t>
        </is>
      </c>
    </row>
    <row r="55">
      <c r="A55" s="3" t="inlineStr">
        <is>
          <t>RNF-021</t>
        </is>
      </c>
      <c r="B55" s="3" t="inlineStr">
        <is>
          <t>No funcional</t>
        </is>
      </c>
      <c r="C55" s="3" t="inlineStr">
        <is>
          <t>MP-11 — Calidad, DevOps y despliegue</t>
        </is>
      </c>
      <c r="D55" s="3" t="inlineStr">
        <is>
          <t>P-037</t>
        </is>
      </c>
      <c r="E55" s="3" t="inlineStr">
        <is>
          <t>Mantener calidad estática mediante ESLint, TypeScript, Sonar preflight, cobertura y correcciones de smells críticos antes de desplegar.</t>
        </is>
      </c>
      <c r="F55" s="3" t="inlineStr">
        <is>
          <t>Equipo técnico / Administrador</t>
        </is>
      </c>
      <c r="G55" s="3" t="inlineStr">
        <is>
          <t>Alta</t>
        </is>
      </c>
      <c r="H55" s="3" t="inlineStr">
        <is>
          <t>OE4</t>
        </is>
      </c>
      <c r="I55" s="3" t="inlineStr">
        <is>
          <t>CU-054</t>
        </is>
      </c>
      <c r="J55" s="3" t="inlineStr">
        <is>
          <t>Calidad / Sonar</t>
        </is>
      </c>
      <c r="K55" s="3" t="inlineStr">
        <is>
          <t>calzatura-vilchez/package.json:12; calzatura-vilchez/scripts/sonar-preflight.mjs:4; sonar-project.properties:1; calzatura-vilchez/scripts/fix-lcov-for-sonar.mjs:1</t>
        </is>
      </c>
      <c r="L55" s="3" t="inlineStr">
        <is>
          <t>ireHistorial, modeloEstado, ventasDiarias, productos</t>
        </is>
      </c>
      <c r="M55" s="3" t="inlineStr">
        <is>
          <t>Frontend React / BFF según evidencia</t>
        </is>
      </c>
      <c r="N55" s="3" t="inlineStr">
        <is>
          <t>CP-054</t>
        </is>
      </c>
      <c r="O55" s="3" t="inlineStr">
        <is>
          <t>Modelo IA / integración</t>
        </is>
      </c>
      <c r="P55" s="3" t="inlineStr">
        <is>
          <t>Ventas, stock, productos, métricas, historial e indicadores agregados</t>
        </is>
      </c>
      <c r="Q55" s="3" t="inlineStr">
        <is>
          <t>Calidad / Sonar queda operativo, protegido y trazable según BOLT-WEB-054.</t>
        </is>
      </c>
      <c r="R55" s="3" t="inlineStr">
        <is>
          <t>calzatura-vilchez/package.json:12; calzatura-vilchez/scripts/sonar-preflight.mjs:4; sonar-project.properties:1; calzatura-vilchez/scripts/fix-lcov-for-sonar.mjs:1</t>
        </is>
      </c>
      <c r="S55" s="5" t="inlineStr">
        <is>
          <t>Implementado</t>
        </is>
      </c>
      <c r="T55" s="5" t="inlineStr">
        <is>
          <t>Ejecutado</t>
        </is>
      </c>
      <c r="U55" s="3" t="inlineStr">
        <is>
          <t>El requisito se considera aceptado cuando la funcionalidad ejecuta el flujo esperado, mantiene integridad de datos, respeta permisos y cuenta con evidencia técnica en código/pruebas.</t>
        </is>
      </c>
      <c r="V55" s="3" t="inlineStr">
        <is>
          <t>Validado contra matriz BOLT BOLT-WEB-054 y evidencia del repositorio.</t>
        </is>
      </c>
      <c r="W55" s="3" t="inlineStr">
        <is>
          <t>Pérdida de trazabilidad, falla funcional, exposición de datos o interrupción operativa según el módulo afectado.</t>
        </is>
      </c>
      <c r="X55" s="3" t="inlineStr">
        <is>
          <t>ISO/IEC 25010 / ISO/IEC 29119 / ISO/IEC 42001 / ISO 22301</t>
        </is>
      </c>
    </row>
    <row r="56">
      <c r="A56" s="3" t="inlineStr">
        <is>
          <t>RF-034</t>
        </is>
      </c>
      <c r="B56" s="3" t="inlineStr">
        <is>
          <t>Funcional</t>
        </is>
      </c>
      <c r="C56" s="3" t="inlineStr">
        <is>
          <t>MP-02 — Experiencia pública y captación digital</t>
        </is>
      </c>
      <c r="D56" s="3" t="inlineStr">
        <is>
          <t>P-004</t>
        </is>
      </c>
      <c r="E56" s="3" t="inlineStr">
        <is>
          <t>Administrar landings de campaña, carruseles y estanterías promocionales para Cyber Wow, Club Calzado, outlet y nueva temporada.</t>
        </is>
      </c>
      <c r="F56" s="3" t="inlineStr">
        <is>
          <t>Administrador / Servicio IA</t>
        </is>
      </c>
      <c r="G56" s="3" t="inlineStr">
        <is>
          <t>Alta</t>
        </is>
      </c>
      <c r="H56" s="3" t="inlineStr">
        <is>
          <t>OE3</t>
        </is>
      </c>
      <c r="I56" s="3" t="inlineStr">
        <is>
          <t>CU-055</t>
        </is>
      </c>
      <c r="J56" s="3" t="inlineStr">
        <is>
          <t>Público / Campañas</t>
        </is>
      </c>
      <c r="K56" s="3" t="inlineStr">
        <is>
          <t>calzatura-vilchez/src/domains/publico/pages/CyberWowLandingPage.tsx:7; calzatura-vilchez/src/domains/publico/pages/ClubCalzadoLandingPage.tsx:6; calzatura-vilchez/src/domains/productos/components/ProductsPageCampaignSection.tsx:1; calzatura-vilchez/e2e/campaign-landings.spec.ts:4</t>
        </is>
      </c>
      <c r="L56" s="3" t="inlineStr">
        <is>
          <t>productos, productoCodigos, productoFinanzas</t>
        </is>
      </c>
      <c r="M56" s="3" t="inlineStr">
        <is>
          <t>Frontend React / BFF según evidencia</t>
        </is>
      </c>
      <c r="N56" s="3" t="inlineStr">
        <is>
          <t>CP-055</t>
        </is>
      </c>
      <c r="O56" s="3" t="inlineStr">
        <is>
          <t>Modelo IA / integración</t>
        </is>
      </c>
      <c r="P56" s="3" t="inlineStr">
        <is>
          <t>Datos funcionales del módulo y sesión autorizada</t>
        </is>
      </c>
      <c r="Q56" s="3" t="inlineStr">
        <is>
          <t>Público / Campañas queda operativo, protegido y trazable según BOLT-WEB-055.</t>
        </is>
      </c>
      <c r="R56" s="3" t="inlineStr">
        <is>
          <t>calzatura-vilchez/src/domains/publico/pages/CyberWowLandingPage.tsx:7; calzatura-vilchez/src/domains/publico/pages/ClubCalzadoLandingPage.tsx:6; calzatura-vilchez/src/domains/productos/components/ProductsPageCampaignSection.tsx:1; calzatura-vilchez/e2e/campaign-landings.spec.ts:4</t>
        </is>
      </c>
      <c r="S56" s="5" t="inlineStr">
        <is>
          <t>Implementado</t>
        </is>
      </c>
      <c r="T56" s="5" t="inlineStr">
        <is>
          <t>Ejecutado</t>
        </is>
      </c>
      <c r="U56" s="3" t="inlineStr">
        <is>
          <t>El requisito se considera aceptado cuando la funcionalidad ejecuta el flujo esperado, mantiene integridad de datos, respeta permisos y cuenta con evidencia técnica en código/pruebas.</t>
        </is>
      </c>
      <c r="V56" s="3" t="inlineStr">
        <is>
          <t>Validado contra matriz BOLT BOLT-WEB-055 y evidencia del repositorio.</t>
        </is>
      </c>
      <c r="W56" s="3" t="inlineStr">
        <is>
          <t>Pérdida de trazabilidad, falla funcional, exposición de datos o interrupción operativa según el módulo afectado.</t>
        </is>
      </c>
      <c r="X56" s="3" t="inlineStr">
        <is>
          <t>ISO/IEC 25010 / ISO/IEC 42001</t>
        </is>
      </c>
    </row>
  </sheetData>
  <autoFilter ref="A1:X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6" customWidth="1" min="3" max="3"/>
    <col width="48" customWidth="1" min="4" max="4"/>
    <col width="16" customWidth="1" min="5" max="5"/>
    <col width="16" customWidth="1" min="6" max="6"/>
    <col width="42" customWidth="1" min="7" max="7"/>
    <col width="12" customWidth="1" min="8" max="8"/>
    <col width="55" customWidth="1" min="9" max="9"/>
  </cols>
  <sheetData>
    <row r="1">
      <c r="A1" s="1" t="inlineStr">
        <is>
          <t>Código proceso</t>
        </is>
      </c>
      <c r="B1" s="1" t="inlineStr">
        <is>
          <t>Código macroproceso</t>
        </is>
      </c>
      <c r="C1" s="1" t="inlineStr">
        <is>
          <t>Macroproceso</t>
        </is>
      </c>
      <c r="D1" s="1" t="inlineStr">
        <is>
          <t>Proceso identificado</t>
        </is>
      </c>
      <c r="E1" s="1" t="inlineStr">
        <is>
          <t>Tipo de proceso</t>
        </is>
      </c>
      <c r="F1" s="1" t="inlineStr">
        <is>
          <t>Sistematización</t>
        </is>
      </c>
      <c r="G1" s="1" t="inlineStr">
        <is>
          <t>Requisito asociado</t>
        </is>
      </c>
      <c r="H1" s="1" t="inlineStr">
        <is>
          <t>Prioridad</t>
        </is>
      </c>
      <c r="I1" s="1" t="inlineStr">
        <is>
          <t>Justificación de sistematización</t>
        </is>
      </c>
    </row>
    <row r="2">
      <c r="A2" s="3" t="inlineStr">
        <is>
          <t>P-001</t>
        </is>
      </c>
      <c r="B2" s="3" t="inlineStr">
        <is>
          <t>MP-01</t>
        </is>
      </c>
      <c r="C2" s="3" t="inlineStr">
        <is>
          <t>Gestión estratégica y diagnóstico digital</t>
        </is>
      </c>
      <c r="D2" s="3" t="inlineStr">
        <is>
          <t>Diagnosticar necesidad digital y problema empresarial</t>
        </is>
      </c>
      <c r="E2" s="3" t="inlineStr">
        <is>
          <t>Gestión</t>
        </is>
      </c>
      <c r="F2" s="3" t="inlineStr">
        <is>
          <t>Sí</t>
        </is>
      </c>
      <c r="G2" s="3" t="inlineStr">
        <is>
          <t>Control documental</t>
        </is>
      </c>
      <c r="H2" s="3" t="inlineStr">
        <is>
          <t>Alta</t>
        </is>
      </c>
      <c r="I2" s="3" t="inlineStr">
        <is>
          <t>Proceso cubierto por código, pruebas y evidencia de matriz BOLT del sistema web.</t>
        </is>
      </c>
    </row>
    <row r="3">
      <c r="A3" s="3" t="inlineStr">
        <is>
          <t>P-002</t>
        </is>
      </c>
      <c r="B3" s="3" t="inlineStr">
        <is>
          <t>MP-01</t>
        </is>
      </c>
      <c r="C3" s="3" t="inlineStr">
        <is>
          <t>Gestión estratégica y diagnóstico digital</t>
        </is>
      </c>
      <c r="D3" s="3" t="inlineStr">
        <is>
          <t>Definir alcance del sistema web y exclusiones</t>
        </is>
      </c>
      <c r="E3" s="3" t="inlineStr">
        <is>
          <t>Gestión</t>
        </is>
      </c>
      <c r="F3" s="3" t="inlineStr">
        <is>
          <t>Sí</t>
        </is>
      </c>
      <c r="G3" s="3" t="inlineStr">
        <is>
          <t>RNF-001</t>
        </is>
      </c>
      <c r="H3" s="3" t="inlineStr">
        <is>
          <t>Alta</t>
        </is>
      </c>
      <c r="I3" s="3" t="inlineStr">
        <is>
          <t>Proceso cubierto por código, pruebas y evidencia de matriz BOLT del sistema web.</t>
        </is>
      </c>
    </row>
    <row r="4">
      <c r="A4" s="3" t="inlineStr">
        <is>
          <t>P-003</t>
        </is>
      </c>
      <c r="B4" s="3" t="inlineStr">
        <is>
          <t>MP-02</t>
        </is>
      </c>
      <c r="C4" s="3" t="inlineStr">
        <is>
          <t>Experiencia pública y captación digital</t>
        </is>
      </c>
      <c r="D4" s="3" t="inlineStr">
        <is>
          <t>Presentar home, marca y promociones principales</t>
        </is>
      </c>
      <c r="E4" s="3" t="inlineStr">
        <is>
          <t>Operativo</t>
        </is>
      </c>
      <c r="F4" s="3" t="inlineStr">
        <is>
          <t>Sí</t>
        </is>
      </c>
      <c r="G4" s="3" t="inlineStr">
        <is>
          <t>RF-001</t>
        </is>
      </c>
      <c r="H4" s="3" t="inlineStr">
        <is>
          <t>Alta</t>
        </is>
      </c>
      <c r="I4" s="3" t="inlineStr">
        <is>
          <t>Proceso cubierto por código, pruebas y evidencia de matriz BOLT del sistema web.</t>
        </is>
      </c>
    </row>
    <row r="5">
      <c r="A5" s="3" t="inlineStr">
        <is>
          <t>P-004</t>
        </is>
      </c>
      <c r="B5" s="3" t="inlineStr">
        <is>
          <t>MP-02</t>
        </is>
      </c>
      <c r="C5" s="3" t="inlineStr">
        <is>
          <t>Experiencia pública y captación digital</t>
        </is>
      </c>
      <c r="D5" s="3" t="inlineStr">
        <is>
          <t>Gestionar landings y campañas comerciales</t>
        </is>
      </c>
      <c r="E5" s="3" t="inlineStr">
        <is>
          <t>Operativo</t>
        </is>
      </c>
      <c r="F5" s="3" t="inlineStr">
        <is>
          <t>Sí</t>
        </is>
      </c>
      <c r="G5" s="3" t="inlineStr">
        <is>
          <t>RF-016, RF-034</t>
        </is>
      </c>
      <c r="H5" s="3" t="inlineStr">
        <is>
          <t>Media</t>
        </is>
      </c>
      <c r="I5" s="3" t="inlineStr">
        <is>
          <t>Proceso cubierto por código, pruebas y evidencia de matriz BOLT del sistema web.</t>
        </is>
      </c>
    </row>
    <row r="6">
      <c r="A6" s="3" t="inlineStr">
        <is>
          <t>P-005</t>
        </is>
      </c>
      <c r="B6" s="3" t="inlineStr">
        <is>
          <t>MP-02</t>
        </is>
      </c>
      <c r="C6" s="3" t="inlineStr">
        <is>
          <t>Experiencia pública y captación digital</t>
        </is>
      </c>
      <c r="D6" s="3" t="inlineStr">
        <is>
          <t>Publicar información legal, cookies y atención al consumidor</t>
        </is>
      </c>
      <c r="E6" s="3" t="inlineStr">
        <is>
          <t>Soporte</t>
        </is>
      </c>
      <c r="F6" s="3" t="inlineStr">
        <is>
          <t>Sí</t>
        </is>
      </c>
      <c r="G6" s="3" t="inlineStr">
        <is>
          <t>Control documental</t>
        </is>
      </c>
      <c r="H6" s="3" t="inlineStr">
        <is>
          <t>Alta</t>
        </is>
      </c>
      <c r="I6" s="3" t="inlineStr">
        <is>
          <t>Proceso cubierto por código, pruebas y evidencia de matriz BOLT del sistema web.</t>
        </is>
      </c>
    </row>
    <row r="7">
      <c r="A7" s="3" t="inlineStr">
        <is>
          <t>P-006</t>
        </is>
      </c>
      <c r="B7" s="3" t="inlineStr">
        <is>
          <t>MP-03</t>
        </is>
      </c>
      <c r="C7" s="3" t="inlineStr">
        <is>
          <t>Gestión de productos y catálogo digital</t>
        </is>
      </c>
      <c r="D7" s="3" t="inlineStr">
        <is>
          <t>Consultar catálogo activo de productos</t>
        </is>
      </c>
      <c r="E7" s="3" t="inlineStr">
        <is>
          <t>Operativo</t>
        </is>
      </c>
      <c r="F7" s="3" t="inlineStr">
        <is>
          <t>Sí</t>
        </is>
      </c>
      <c r="G7" s="3" t="inlineStr">
        <is>
          <t>RF-002</t>
        </is>
      </c>
      <c r="H7" s="3" t="inlineStr">
        <is>
          <t>Alta</t>
        </is>
      </c>
      <c r="I7" s="3" t="inlineStr">
        <is>
          <t>Proceso cubierto por código, pruebas y evidencia de matriz BOLT del sistema web.</t>
        </is>
      </c>
    </row>
    <row r="8">
      <c r="A8" s="3" t="inlineStr">
        <is>
          <t>P-007</t>
        </is>
      </c>
      <c r="B8" s="3" t="inlineStr">
        <is>
          <t>MP-03</t>
        </is>
      </c>
      <c r="C8" s="3" t="inlineStr">
        <is>
          <t>Gestión de productos y catálogo digital</t>
        </is>
      </c>
      <c r="D8" s="3" t="inlineStr">
        <is>
          <t>Filtrar catálogo por marca, categoría, talla, color y campaña</t>
        </is>
      </c>
      <c r="E8" s="3" t="inlineStr">
        <is>
          <t>Operativo</t>
        </is>
      </c>
      <c r="F8" s="3" t="inlineStr">
        <is>
          <t>Sí</t>
        </is>
      </c>
      <c r="G8" s="3" t="inlineStr">
        <is>
          <t>Control documental</t>
        </is>
      </c>
      <c r="H8" s="3" t="inlineStr">
        <is>
          <t>Alta</t>
        </is>
      </c>
      <c r="I8" s="3" t="inlineStr">
        <is>
          <t>Proceso cubierto por código, pruebas y evidencia de matriz BOLT del sistema web.</t>
        </is>
      </c>
    </row>
    <row r="9">
      <c r="A9" s="3" t="inlineStr">
        <is>
          <t>P-008</t>
        </is>
      </c>
      <c r="B9" s="3" t="inlineStr">
        <is>
          <t>MP-03</t>
        </is>
      </c>
      <c r="C9" s="3" t="inlineStr">
        <is>
          <t>Gestión de productos y catálogo digital</t>
        </is>
      </c>
      <c r="D9" s="3" t="inlineStr">
        <is>
          <t>Visualizar tarjeta y detalle de producto accesible</t>
        </is>
      </c>
      <c r="E9" s="3" t="inlineStr">
        <is>
          <t>Operativo</t>
        </is>
      </c>
      <c r="F9" s="3" t="inlineStr">
        <is>
          <t>Sí</t>
        </is>
      </c>
      <c r="G9" s="3" t="inlineStr">
        <is>
          <t>RF-003</t>
        </is>
      </c>
      <c r="H9" s="3" t="inlineStr">
        <is>
          <t>Alta</t>
        </is>
      </c>
      <c r="I9" s="3" t="inlineStr">
        <is>
          <t>Proceso cubierto por código, pruebas y evidencia de matriz BOLT del sistema web.</t>
        </is>
      </c>
    </row>
    <row r="10">
      <c r="A10" s="3" t="inlineStr">
        <is>
          <t>P-009</t>
        </is>
      </c>
      <c r="B10" s="3" t="inlineStr">
        <is>
          <t>MP-03</t>
        </is>
      </c>
      <c r="C10" s="3" t="inlineStr">
        <is>
          <t>Gestión de productos y catálogo digital</t>
        </is>
      </c>
      <c r="D10" s="3" t="inlineStr">
        <is>
          <t>Mantener códigos únicos y variantes de producto</t>
        </is>
      </c>
      <c r="E10" s="3" t="inlineStr">
        <is>
          <t>Operativo</t>
        </is>
      </c>
      <c r="F10" s="3" t="inlineStr">
        <is>
          <t>Sí</t>
        </is>
      </c>
      <c r="G10" s="3" t="inlineStr">
        <is>
          <t>RF-029</t>
        </is>
      </c>
      <c r="H10" s="3" t="inlineStr">
        <is>
          <t>Alta</t>
        </is>
      </c>
      <c r="I10" s="3" t="inlineStr">
        <is>
          <t>Proceso cubierto por código, pruebas y evidencia de matriz BOLT del sistema web.</t>
        </is>
      </c>
    </row>
    <row r="11">
      <c r="A11" s="3" t="inlineStr">
        <is>
          <t>P-010</t>
        </is>
      </c>
      <c r="B11" s="3" t="inlineStr">
        <is>
          <t>MP-03</t>
        </is>
      </c>
      <c r="C11" s="3" t="inlineStr">
        <is>
          <t>Gestión de productos y catálogo digital</t>
        </is>
      </c>
      <c r="D11" s="3" t="inlineStr">
        <is>
          <t>Administrar imágenes y recursos multimedia del producto</t>
        </is>
      </c>
      <c r="E11" s="3" t="inlineStr">
        <is>
          <t>Soporte</t>
        </is>
      </c>
      <c r="F11" s="3" t="inlineStr">
        <is>
          <t>Sí</t>
        </is>
      </c>
      <c r="G11" s="3" t="inlineStr">
        <is>
          <t>RF-023</t>
        </is>
      </c>
      <c r="H11" s="3" t="inlineStr">
        <is>
          <t>Media</t>
        </is>
      </c>
      <c r="I11" s="3" t="inlineStr">
        <is>
          <t>Proceso cubierto por código, pruebas y evidencia de matriz BOLT del sistema web.</t>
        </is>
      </c>
    </row>
    <row r="12">
      <c r="A12" s="3" t="inlineStr">
        <is>
          <t>P-011</t>
        </is>
      </c>
      <c r="B12" s="3" t="inlineStr">
        <is>
          <t>MP-04</t>
        </is>
      </c>
      <c r="C12" s="3" t="inlineStr">
        <is>
          <t>Gestión de carrito y compra web</t>
        </is>
      </c>
      <c r="D12" s="3" t="inlineStr">
        <is>
          <t>Gestionar carrito de compra por sesión</t>
        </is>
      </c>
      <c r="E12" s="3" t="inlineStr">
        <is>
          <t>Operativo</t>
        </is>
      </c>
      <c r="F12" s="3" t="inlineStr">
        <is>
          <t>Sí</t>
        </is>
      </c>
      <c r="G12" s="3" t="inlineStr">
        <is>
          <t>RF-004</t>
        </is>
      </c>
      <c r="H12" s="3" t="inlineStr">
        <is>
          <t>Alta</t>
        </is>
      </c>
      <c r="I12" s="3" t="inlineStr">
        <is>
          <t>Proceso cubierto por código, pruebas y evidencia de matriz BOLT del sistema web.</t>
        </is>
      </c>
    </row>
    <row r="13">
      <c r="A13" s="3" t="inlineStr">
        <is>
          <t>P-012</t>
        </is>
      </c>
      <c r="B13" s="3" t="inlineStr">
        <is>
          <t>MP-04</t>
        </is>
      </c>
      <c r="C13" s="3" t="inlineStr">
        <is>
          <t>Gestión de carrito y compra web</t>
        </is>
      </c>
      <c r="D13" s="3" t="inlineStr">
        <is>
          <t>Calcular dirección, zona y costo de entrega</t>
        </is>
      </c>
      <c r="E13" s="3" t="inlineStr">
        <is>
          <t>Operativo</t>
        </is>
      </c>
      <c r="F13" s="3" t="inlineStr">
        <is>
          <t>Sí</t>
        </is>
      </c>
      <c r="G13" s="3" t="inlineStr">
        <is>
          <t>RF-024</t>
        </is>
      </c>
      <c r="H13" s="3" t="inlineStr">
        <is>
          <t>Alta</t>
        </is>
      </c>
      <c r="I13" s="3" t="inlineStr">
        <is>
          <t>Proceso cubierto por código, pruebas y evidencia de matriz BOLT del sistema web.</t>
        </is>
      </c>
    </row>
    <row r="14">
      <c r="A14" s="3" t="inlineStr">
        <is>
          <t>P-013</t>
        </is>
      </c>
      <c r="B14" s="3" t="inlineStr">
        <is>
          <t>MP-04</t>
        </is>
      </c>
      <c r="C14" s="3" t="inlineStr">
        <is>
          <t>Gestión de carrito y compra web</t>
        </is>
      </c>
      <c r="D14" s="3" t="inlineStr">
        <is>
          <t>Confirmar checkout con validación de stock, precio e idempotencia</t>
        </is>
      </c>
      <c r="E14" s="3" t="inlineStr">
        <is>
          <t>Operativo</t>
        </is>
      </c>
      <c r="F14" s="3" t="inlineStr">
        <is>
          <t>Sí</t>
        </is>
      </c>
      <c r="G14" s="3" t="inlineStr">
        <is>
          <t>RF-005</t>
        </is>
      </c>
      <c r="H14" s="3" t="inlineStr">
        <is>
          <t>Alta</t>
        </is>
      </c>
      <c r="I14" s="3" t="inlineStr">
        <is>
          <t>Proceso cubierto por código, pruebas y evidencia de matriz BOLT del sistema web.</t>
        </is>
      </c>
    </row>
    <row r="15">
      <c r="A15" s="3" t="inlineStr">
        <is>
          <t>P-014</t>
        </is>
      </c>
      <c r="B15" s="3" t="inlineStr">
        <is>
          <t>MP-04</t>
        </is>
      </c>
      <c r="C15" s="3" t="inlineStr">
        <is>
          <t>Gestión de carrito y compra web</t>
        </is>
      </c>
      <c r="D15" s="3" t="inlineStr">
        <is>
          <t>Procesar pagos Stripe y contraentrega</t>
        </is>
      </c>
      <c r="E15" s="3" t="inlineStr">
        <is>
          <t>Operativo</t>
        </is>
      </c>
      <c r="F15" s="3" t="inlineStr">
        <is>
          <t>Sí</t>
        </is>
      </c>
      <c r="G15" s="3" t="inlineStr">
        <is>
          <t>RNF-005</t>
        </is>
      </c>
      <c r="H15" s="3" t="inlineStr">
        <is>
          <t>Alta</t>
        </is>
      </c>
      <c r="I15" s="3" t="inlineStr">
        <is>
          <t>Proceso cubierto por código, pruebas y evidencia de matriz BOLT del sistema web.</t>
        </is>
      </c>
    </row>
    <row r="16">
      <c r="A16" s="3" t="inlineStr">
        <is>
          <t>P-015</t>
        </is>
      </c>
      <c r="B16" s="3" t="inlineStr">
        <is>
          <t>MP-05</t>
        </is>
      </c>
      <c r="C16" s="3" t="inlineStr">
        <is>
          <t>Gestión de pedidos y posventa</t>
        </is>
      </c>
      <c r="D16" s="3" t="inlineStr">
        <is>
          <t>Crear pedido desde canal web</t>
        </is>
      </c>
      <c r="E16" s="3" t="inlineStr">
        <is>
          <t>Operativo</t>
        </is>
      </c>
      <c r="F16" s="3" t="inlineStr">
        <is>
          <t>Sí</t>
        </is>
      </c>
      <c r="G16" s="3" t="inlineStr">
        <is>
          <t>Control documental</t>
        </is>
      </c>
      <c r="H16" s="3" t="inlineStr">
        <is>
          <t>Alta</t>
        </is>
      </c>
      <c r="I16" s="3" t="inlineStr">
        <is>
          <t>Proceso cubierto por código, pruebas y evidencia de matriz BOLT del sistema web.</t>
        </is>
      </c>
    </row>
    <row r="17">
      <c r="A17" s="3" t="inlineStr">
        <is>
          <t>P-016</t>
        </is>
      </c>
      <c r="B17" s="3" t="inlineStr">
        <is>
          <t>MP-05</t>
        </is>
      </c>
      <c r="C17" s="3" t="inlineStr">
        <is>
          <t>Gestión de pedidos y posventa</t>
        </is>
      </c>
      <c r="D17" s="3" t="inlineStr">
        <is>
          <t>Mostrar confirmación de pedido y polling de pago</t>
        </is>
      </c>
      <c r="E17" s="3" t="inlineStr">
        <is>
          <t>Operativo</t>
        </is>
      </c>
      <c r="F17" s="3" t="inlineStr">
        <is>
          <t>Sí</t>
        </is>
      </c>
      <c r="G17" s="3" t="inlineStr">
        <is>
          <t>RF-006</t>
        </is>
      </c>
      <c r="H17" s="3" t="inlineStr">
        <is>
          <t>Alta</t>
        </is>
      </c>
      <c r="I17" s="3" t="inlineStr">
        <is>
          <t>Proceso cubierto por código, pruebas y evidencia de matriz BOLT del sistema web.</t>
        </is>
      </c>
    </row>
    <row r="18">
      <c r="A18" s="3" t="inlineStr">
        <is>
          <t>P-017</t>
        </is>
      </c>
      <c r="B18" s="3" t="inlineStr">
        <is>
          <t>MP-05</t>
        </is>
      </c>
      <c r="C18" s="3" t="inlineStr">
        <is>
          <t>Gestión de pedidos y posventa</t>
        </is>
      </c>
      <c r="D18" s="3" t="inlineStr">
        <is>
          <t>Consultar historial y detalle de pedidos del cliente</t>
        </is>
      </c>
      <c r="E18" s="3" t="inlineStr">
        <is>
          <t>Operativo</t>
        </is>
      </c>
      <c r="F18" s="3" t="inlineStr">
        <is>
          <t>Sí</t>
        </is>
      </c>
      <c r="G18" s="3" t="inlineStr">
        <is>
          <t>RF-021</t>
        </is>
      </c>
      <c r="H18" s="3" t="inlineStr">
        <is>
          <t>Alta</t>
        </is>
      </c>
      <c r="I18" s="3" t="inlineStr">
        <is>
          <t>Proceso cubierto por código, pruebas y evidencia de matriz BOLT del sistema web.</t>
        </is>
      </c>
    </row>
    <row r="19">
      <c r="A19" s="3" t="inlineStr">
        <is>
          <t>P-018</t>
        </is>
      </c>
      <c r="B19" s="3" t="inlineStr">
        <is>
          <t>MP-05</t>
        </is>
      </c>
      <c r="C19" s="3" t="inlineStr">
        <is>
          <t>Gestión de pedidos y posventa</t>
        </is>
      </c>
      <c r="D19" s="3" t="inlineStr">
        <is>
          <t>Administrar estados de pedido mediante máquina de estados</t>
        </is>
      </c>
      <c r="E19" s="3" t="inlineStr">
        <is>
          <t>Operativo</t>
        </is>
      </c>
      <c r="F19" s="3" t="inlineStr">
        <is>
          <t>Sí</t>
        </is>
      </c>
      <c r="G19" s="3" t="inlineStr">
        <is>
          <t>RF-010, RF-031</t>
        </is>
      </c>
      <c r="H19" s="3" t="inlineStr">
        <is>
          <t>Alta</t>
        </is>
      </c>
      <c r="I19" s="3" t="inlineStr">
        <is>
          <t>Proceso cubierto por código, pruebas y evidencia de matriz BOLT del sistema web.</t>
        </is>
      </c>
    </row>
    <row r="20">
      <c r="A20" s="3" t="inlineStr">
        <is>
          <t>P-019</t>
        </is>
      </c>
      <c r="B20" s="3" t="inlineStr">
        <is>
          <t>MP-06</t>
        </is>
      </c>
      <c r="C20" s="3" t="inlineStr">
        <is>
          <t>Gestión de clientes y privacidad</t>
        </is>
      </c>
      <c r="D20" s="3" t="inlineStr">
        <is>
          <t>Registrar e iniciar sesión de clientes con validaciones</t>
        </is>
      </c>
      <c r="E20" s="3" t="inlineStr">
        <is>
          <t>Operativo</t>
        </is>
      </c>
      <c r="F20" s="3" t="inlineStr">
        <is>
          <t>Sí</t>
        </is>
      </c>
      <c r="G20" s="3" t="inlineStr">
        <is>
          <t>RNF-002, RF-033</t>
        </is>
      </c>
      <c r="H20" s="3" t="inlineStr">
        <is>
          <t>Alta</t>
        </is>
      </c>
      <c r="I20" s="3" t="inlineStr">
        <is>
          <t>Proceso cubierto por código, pruebas y evidencia de matriz BOLT del sistema web.</t>
        </is>
      </c>
    </row>
    <row r="21">
      <c r="A21" s="3" t="inlineStr">
        <is>
          <t>P-020</t>
        </is>
      </c>
      <c r="B21" s="3" t="inlineStr">
        <is>
          <t>MP-06</t>
        </is>
      </c>
      <c r="C21" s="3" t="inlineStr">
        <is>
          <t>Gestión de clientes y privacidad</t>
        </is>
      </c>
      <c r="D21" s="3" t="inlineStr">
        <is>
          <t>Gestionar perfil del cliente y datos de contacto</t>
        </is>
      </c>
      <c r="E21" s="3" t="inlineStr">
        <is>
          <t>Operativo</t>
        </is>
      </c>
      <c r="F21" s="3" t="inlineStr">
        <is>
          <t>Sí</t>
        </is>
      </c>
      <c r="G21" s="3" t="inlineStr">
        <is>
          <t>RF-020</t>
        </is>
      </c>
      <c r="H21" s="3" t="inlineStr">
        <is>
          <t>Alta</t>
        </is>
      </c>
      <c r="I21" s="3" t="inlineStr">
        <is>
          <t>Proceso cubierto por código, pruebas y evidencia de matriz BOLT del sistema web.</t>
        </is>
      </c>
    </row>
    <row r="22">
      <c r="A22" s="3" t="inlineStr">
        <is>
          <t>P-021</t>
        </is>
      </c>
      <c r="B22" s="3" t="inlineStr">
        <is>
          <t>MP-06</t>
        </is>
      </c>
      <c r="C22" s="3" t="inlineStr">
        <is>
          <t>Gestión de clientes y privacidad</t>
        </is>
      </c>
      <c r="D22" s="3" t="inlineStr">
        <is>
          <t>Gestionar favoritos privados por cuenta</t>
        </is>
      </c>
      <c r="E22" s="3" t="inlineStr">
        <is>
          <t>Operativo</t>
        </is>
      </c>
      <c r="F22" s="3" t="inlineStr">
        <is>
          <t>Sí</t>
        </is>
      </c>
      <c r="G22" s="3" t="inlineStr">
        <is>
          <t>RF-019</t>
        </is>
      </c>
      <c r="H22" s="3" t="inlineStr">
        <is>
          <t>Media</t>
        </is>
      </c>
      <c r="I22" s="3" t="inlineStr">
        <is>
          <t>Proceso cubierto por código, pruebas y evidencia de matriz BOLT del sistema web.</t>
        </is>
      </c>
    </row>
    <row r="23">
      <c r="A23" s="3" t="inlineStr">
        <is>
          <t>P-022</t>
        </is>
      </c>
      <c r="B23" s="3" t="inlineStr">
        <is>
          <t>MP-06</t>
        </is>
      </c>
      <c r="C23" s="3" t="inlineStr">
        <is>
          <t>Gestión de clientes y privacidad</t>
        </is>
      </c>
      <c r="D23" s="3" t="inlineStr">
        <is>
          <t>Administrar usuarios y roles</t>
        </is>
      </c>
      <c r="E23" s="3" t="inlineStr">
        <is>
          <t>Gestión</t>
        </is>
      </c>
      <c r="F23" s="3" t="inlineStr">
        <is>
          <t>Sí</t>
        </is>
      </c>
      <c r="G23" s="3" t="inlineStr">
        <is>
          <t>RF-007</t>
        </is>
      </c>
      <c r="H23" s="3" t="inlineStr">
        <is>
          <t>Alta</t>
        </is>
      </c>
      <c r="I23" s="3" t="inlineStr">
        <is>
          <t>Proceso cubierto por código, pruebas y evidencia de matriz BOLT del sistema web.</t>
        </is>
      </c>
    </row>
    <row r="24">
      <c r="A24" s="3" t="inlineStr">
        <is>
          <t>P-023</t>
        </is>
      </c>
      <c r="B24" s="3" t="inlineStr">
        <is>
          <t>MP-07</t>
        </is>
      </c>
      <c r="C24" s="3" t="inlineStr">
        <is>
          <t>Administración comercial</t>
        </is>
      </c>
      <c r="D24" s="3" t="inlineStr">
        <is>
          <t>Monitorear dashboard administrativo</t>
        </is>
      </c>
      <c r="E24" s="3" t="inlineStr">
        <is>
          <t>Gestión</t>
        </is>
      </c>
      <c r="F24" s="3" t="inlineStr">
        <is>
          <t>Sí</t>
        </is>
      </c>
      <c r="G24" s="3" t="inlineStr">
        <is>
          <t>RF-022</t>
        </is>
      </c>
      <c r="H24" s="3" t="inlineStr">
        <is>
          <t>Alta</t>
        </is>
      </c>
      <c r="I24" s="3" t="inlineStr">
        <is>
          <t>Proceso cubierto por código, pruebas y evidencia de matriz BOLT del sistema web.</t>
        </is>
      </c>
    </row>
    <row r="25">
      <c r="A25" s="3" t="inlineStr">
        <is>
          <t>P-024</t>
        </is>
      </c>
      <c r="B25" s="3" t="inlineStr">
        <is>
          <t>MP-07</t>
        </is>
      </c>
      <c r="C25" s="3" t="inlineStr">
        <is>
          <t>Administración comercial</t>
        </is>
      </c>
      <c r="D25" s="3" t="inlineStr">
        <is>
          <t>Administrar productos, stock, finanzas y reglas comerciales</t>
        </is>
      </c>
      <c r="E25" s="3" t="inlineStr">
        <is>
          <t>Operativo</t>
        </is>
      </c>
      <c r="F25" s="3" t="inlineStr">
        <is>
          <t>Sí</t>
        </is>
      </c>
      <c r="G25" s="3" t="inlineStr">
        <is>
          <t>RF-008, RF-009, RF-028, RF-030</t>
        </is>
      </c>
      <c r="H25" s="3" t="inlineStr">
        <is>
          <t>Alta</t>
        </is>
      </c>
      <c r="I25" s="3" t="inlineStr">
        <is>
          <t>Proceso cubierto por código, pruebas y evidencia de matriz BOLT del sistema web.</t>
        </is>
      </c>
    </row>
    <row r="26">
      <c r="A26" s="3" t="inlineStr">
        <is>
          <t>P-025</t>
        </is>
      </c>
      <c r="B26" s="3" t="inlineStr">
        <is>
          <t>MP-07</t>
        </is>
      </c>
      <c r="C26" s="3" t="inlineStr">
        <is>
          <t>Administración comercial</t>
        </is>
      </c>
      <c r="D26" s="3" t="inlineStr">
        <is>
          <t>Administrar fabricantes y marcas</t>
        </is>
      </c>
      <c r="E26" s="3" t="inlineStr">
        <is>
          <t>Operativo</t>
        </is>
      </c>
      <c r="F26" s="3" t="inlineStr">
        <is>
          <t>Sí</t>
        </is>
      </c>
      <c r="G26" s="3" t="inlineStr">
        <is>
          <t>RF-011</t>
        </is>
      </c>
      <c r="H26" s="3" t="inlineStr">
        <is>
          <t>Media</t>
        </is>
      </c>
      <c r="I26" s="3" t="inlineStr">
        <is>
          <t>Proceso cubierto por código, pruebas y evidencia de matriz BOLT del sistema web.</t>
        </is>
      </c>
    </row>
    <row r="27">
      <c r="A27" s="3" t="inlineStr">
        <is>
          <t>P-026</t>
        </is>
      </c>
      <c r="B27" s="3" t="inlineStr">
        <is>
          <t>MP-07</t>
        </is>
      </c>
      <c r="C27" s="3" t="inlineStr">
        <is>
          <t>Administración comercial</t>
        </is>
      </c>
      <c r="D27" s="3" t="inlineStr">
        <is>
          <t>Importar, exportar y limpiar datos Excel</t>
        </is>
      </c>
      <c r="E27" s="3" t="inlineStr">
        <is>
          <t>Soporte</t>
        </is>
      </c>
      <c r="F27" s="3" t="inlineStr">
        <is>
          <t>Sí</t>
        </is>
      </c>
      <c r="G27" s="3" t="inlineStr">
        <is>
          <t>RF-014, RNF-003, RF-025, RF-026, RF-027</t>
        </is>
      </c>
      <c r="H27" s="3" t="inlineStr">
        <is>
          <t>Alta</t>
        </is>
      </c>
      <c r="I27" s="3" t="inlineStr">
        <is>
          <t>Proceso cubierto por código, pruebas y evidencia de matriz BOLT del sistema web.</t>
        </is>
      </c>
    </row>
    <row r="28">
      <c r="A28" s="3" t="inlineStr">
        <is>
          <t>P-027</t>
        </is>
      </c>
      <c r="B28" s="3" t="inlineStr">
        <is>
          <t>MP-07</t>
        </is>
      </c>
      <c r="C28" s="3" t="inlineStr">
        <is>
          <t>Administración comercial</t>
        </is>
      </c>
      <c r="D28" s="3" t="inlineStr">
        <is>
          <t>Registrar auditoría operativa y trazabilidad</t>
        </is>
      </c>
      <c r="E28" s="3" t="inlineStr">
        <is>
          <t>Soporte</t>
        </is>
      </c>
      <c r="F28" s="3" t="inlineStr">
        <is>
          <t>Sí</t>
        </is>
      </c>
      <c r="G28" s="3" t="inlineStr">
        <is>
          <t>RNF-004</t>
        </is>
      </c>
      <c r="H28" s="3" t="inlineStr">
        <is>
          <t>Alta</t>
        </is>
      </c>
      <c r="I28" s="3" t="inlineStr">
        <is>
          <t>Proceso cubierto por código, pruebas y evidencia de matriz BOLT del sistema web.</t>
        </is>
      </c>
    </row>
    <row r="29">
      <c r="A29" s="3" t="inlineStr">
        <is>
          <t>P-028</t>
        </is>
      </c>
      <c r="B29" s="3" t="inlineStr">
        <is>
          <t>MP-08</t>
        </is>
      </c>
      <c r="C29" s="3" t="inlineStr">
        <is>
          <t>Ventas físicas y operación de tienda</t>
        </is>
      </c>
      <c r="D29" s="3" t="inlineStr">
        <is>
          <t>Registrar venta física diaria</t>
        </is>
      </c>
      <c r="E29" s="3" t="inlineStr">
        <is>
          <t>Operativo</t>
        </is>
      </c>
      <c r="F29" s="3" t="inlineStr">
        <is>
          <t>Sí</t>
        </is>
      </c>
      <c r="G29" s="3" t="inlineStr">
        <is>
          <t>RF-012</t>
        </is>
      </c>
      <c r="H29" s="3" t="inlineStr">
        <is>
          <t>Alta</t>
        </is>
      </c>
      <c r="I29" s="3" t="inlineStr">
        <is>
          <t>Proceso cubierto por código, pruebas y evidencia de matriz BOLT del sistema web.</t>
        </is>
      </c>
    </row>
    <row r="30">
      <c r="A30" s="3" t="inlineStr">
        <is>
          <t>P-029</t>
        </is>
      </c>
      <c r="B30" s="3" t="inlineStr">
        <is>
          <t>MP-08</t>
        </is>
      </c>
      <c r="C30" s="3" t="inlineStr">
        <is>
          <t>Ventas físicas y operación de tienda</t>
        </is>
      </c>
      <c r="D30" s="3" t="inlineStr">
        <is>
          <t>Registrar devolución con motivo y reversión de stock</t>
        </is>
      </c>
      <c r="E30" s="3" t="inlineStr">
        <is>
          <t>Operativo</t>
        </is>
      </c>
      <c r="F30" s="3" t="inlineStr">
        <is>
          <t>Sí</t>
        </is>
      </c>
      <c r="G30" s="3" t="inlineStr">
        <is>
          <t>RF-013</t>
        </is>
      </c>
      <c r="H30" s="3" t="inlineStr">
        <is>
          <t>Alta</t>
        </is>
      </c>
      <c r="I30" s="3" t="inlineStr">
        <is>
          <t>Proceso cubierto por código, pruebas y evidencia de matriz BOLT del sistema web.</t>
        </is>
      </c>
    </row>
    <row r="31">
      <c r="A31" s="3" t="inlineStr">
        <is>
          <t>P-030</t>
        </is>
      </c>
      <c r="B31" s="3" t="inlineStr">
        <is>
          <t>MP-08</t>
        </is>
      </c>
      <c r="C31" s="3" t="inlineStr">
        <is>
          <t>Ventas físicas y operación de tienda</t>
        </is>
      </c>
      <c r="D31" s="3" t="inlineStr">
        <is>
          <t>Operar panel de trabajador con permisos acotados</t>
        </is>
      </c>
      <c r="E31" s="3" t="inlineStr">
        <is>
          <t>Operativo</t>
        </is>
      </c>
      <c r="F31" s="3" t="inlineStr">
        <is>
          <t>Sí</t>
        </is>
      </c>
      <c r="G31" s="3" t="inlineStr">
        <is>
          <t>RF-032</t>
        </is>
      </c>
      <c r="H31" s="3" t="inlineStr">
        <is>
          <t>Media</t>
        </is>
      </c>
      <c r="I31" s="3" t="inlineStr">
        <is>
          <t>Proceso cubierto por código, pruebas y evidencia de matriz BOLT del sistema web.</t>
        </is>
      </c>
    </row>
    <row r="32">
      <c r="A32" s="3" t="inlineStr">
        <is>
          <t>P-031</t>
        </is>
      </c>
      <c r="B32" s="3" t="inlineStr">
        <is>
          <t>MP-09</t>
        </is>
      </c>
      <c r="C32" s="3" t="inlineStr">
        <is>
          <t>Seguridad, privacidad y base de datos</t>
        </is>
      </c>
      <c r="D32" s="3" t="inlineStr">
        <is>
          <t>Proteger datos mediante RLS, REVOKE y service_role</t>
        </is>
      </c>
      <c r="E32" s="3" t="inlineStr">
        <is>
          <t>Tecnológico</t>
        </is>
      </c>
      <c r="F32" s="3" t="inlineStr">
        <is>
          <t>Sí</t>
        </is>
      </c>
      <c r="G32" s="3" t="inlineStr">
        <is>
          <t>RNF-008, RNF-014, RNF-015</t>
        </is>
      </c>
      <c r="H32" s="3" t="inlineStr">
        <is>
          <t>Alta</t>
        </is>
      </c>
      <c r="I32" s="3" t="inlineStr">
        <is>
          <t>Proceso cubierto por código, pruebas y evidencia de matriz BOLT del sistema web.</t>
        </is>
      </c>
    </row>
    <row r="33">
      <c r="A33" s="3" t="inlineStr">
        <is>
          <t>P-032</t>
        </is>
      </c>
      <c r="B33" s="3" t="inlineStr">
        <is>
          <t>MP-09</t>
        </is>
      </c>
      <c r="C33" s="3" t="inlineStr">
        <is>
          <t>Seguridad, privacidad y base de datos</t>
        </is>
      </c>
      <c r="D33" s="3" t="inlineStr">
        <is>
          <t>Aplicar redacción de PII y minimización de datos</t>
        </is>
      </c>
      <c r="E33" s="3" t="inlineStr">
        <is>
          <t>Tecnológico</t>
        </is>
      </c>
      <c r="F33" s="3" t="inlineStr">
        <is>
          <t>Sí</t>
        </is>
      </c>
      <c r="G33" s="3" t="inlineStr">
        <is>
          <t>RNF-009, RNF-016</t>
        </is>
      </c>
      <c r="H33" s="3" t="inlineStr">
        <is>
          <t>Alta</t>
        </is>
      </c>
      <c r="I33" s="3" t="inlineStr">
        <is>
          <t>Proceso cubierto por código, pruebas y evidencia de matriz BOLT del sistema web.</t>
        </is>
      </c>
    </row>
    <row r="34">
      <c r="A34" s="3" t="inlineStr">
        <is>
          <t>P-033</t>
        </is>
      </c>
      <c r="B34" s="3" t="inlineStr">
        <is>
          <t>MP-09</t>
        </is>
      </c>
      <c r="C34" s="3" t="inlineStr">
        <is>
          <t>Seguridad, privacidad y base de datos</t>
        </is>
      </c>
      <c r="D34" s="3" t="inlineStr">
        <is>
          <t>Aplicar App Check, rate limit y secrets server-side</t>
        </is>
      </c>
      <c r="E34" s="3" t="inlineStr">
        <is>
          <t>Tecnológico</t>
        </is>
      </c>
      <c r="F34" s="3" t="inlineStr">
        <is>
          <t>Sí</t>
        </is>
      </c>
      <c r="G34" s="3" t="inlineStr">
        <is>
          <t>RNF-006, RNF-017, RNF-018</t>
        </is>
      </c>
      <c r="H34" s="3" t="inlineStr">
        <is>
          <t>Alta</t>
        </is>
      </c>
      <c r="I34" s="3" t="inlineStr">
        <is>
          <t>Proceso cubierto por código, pruebas y evidencia de matriz BOLT del sistema web.</t>
        </is>
      </c>
    </row>
    <row r="35">
      <c r="A35" s="3" t="inlineStr">
        <is>
          <t>P-034</t>
        </is>
      </c>
      <c r="B35" s="3" t="inlineStr">
        <is>
          <t>MP-09</t>
        </is>
      </c>
      <c r="C35" s="3" t="inlineStr">
        <is>
          <t>Seguridad, privacidad y base de datos</t>
        </is>
      </c>
      <c r="D35" s="3" t="inlineStr">
        <is>
          <t>Ejecutar seguridad dinámica OWASP ZAP y cabeceras</t>
        </is>
      </c>
      <c r="E35" s="3" t="inlineStr">
        <is>
          <t>Tecnológico</t>
        </is>
      </c>
      <c r="F35" s="3" t="inlineStr">
        <is>
          <t>Sí</t>
        </is>
      </c>
      <c r="G35" s="3" t="inlineStr">
        <is>
          <t>RNF-007</t>
        </is>
      </c>
      <c r="H35" s="3" t="inlineStr">
        <is>
          <t>Alta</t>
        </is>
      </c>
      <c r="I35" s="3" t="inlineStr">
        <is>
          <t>Proceso cubierto por código, pruebas y evidencia de matriz BOLT del sistema web.</t>
        </is>
      </c>
    </row>
    <row r="36">
      <c r="A36" s="3" t="inlineStr">
        <is>
          <t>P-035</t>
        </is>
      </c>
      <c r="B36" s="3" t="inlineStr">
        <is>
          <t>MP-10</t>
        </is>
      </c>
      <c r="C36" s="3" t="inlineStr">
        <is>
          <t>Inteligencia artificial y analítica</t>
        </is>
      </c>
      <c r="D36" s="3" t="inlineStr">
        <is>
          <t>Ejecutar predicciones e IRE en administración</t>
        </is>
      </c>
      <c r="E36" s="3" t="inlineStr">
        <is>
          <t>Analítico</t>
        </is>
      </c>
      <c r="F36" s="3" t="inlineStr">
        <is>
          <t>Sí</t>
        </is>
      </c>
      <c r="G36" s="3" t="inlineStr">
        <is>
          <t>RF-015</t>
        </is>
      </c>
      <c r="H36" s="3" t="inlineStr">
        <is>
          <t>Alta</t>
        </is>
      </c>
      <c r="I36" s="3" t="inlineStr">
        <is>
          <t>Proceso cubierto por código, pruebas y evidencia de matriz BOLT del sistema web.</t>
        </is>
      </c>
    </row>
    <row r="37">
      <c r="A37" s="3" t="inlineStr">
        <is>
          <t>P-036</t>
        </is>
      </c>
      <c r="B37" s="3" t="inlineStr">
        <is>
          <t>MP-10</t>
        </is>
      </c>
      <c r="C37" s="3" t="inlineStr">
        <is>
          <t>Inteligencia artificial y analítica</t>
        </is>
      </c>
      <c r="D37" s="3" t="inlineStr">
        <is>
          <t>Medir backtesting, suficiencia de datos y calidad IA</t>
        </is>
      </c>
      <c r="E37" s="3" t="inlineStr">
        <is>
          <t>Analítico</t>
        </is>
      </c>
      <c r="F37" s="3" t="inlineStr">
        <is>
          <t>Sí</t>
        </is>
      </c>
      <c r="G37" s="3" t="inlineStr">
        <is>
          <t>RNF-020</t>
        </is>
      </c>
      <c r="H37" s="3" t="inlineStr">
        <is>
          <t>Alta</t>
        </is>
      </c>
      <c r="I37" s="3" t="inlineStr">
        <is>
          <t>Proceso cubierto por código, pruebas y evidencia de matriz BOLT del sistema web.</t>
        </is>
      </c>
    </row>
    <row r="38">
      <c r="A38" s="3" t="inlineStr">
        <is>
          <t>P-037</t>
        </is>
      </c>
      <c r="B38" s="3" t="inlineStr">
        <is>
          <t>MP-11</t>
        </is>
      </c>
      <c r="C38" s="3" t="inlineStr">
        <is>
          <t>Calidad, DevOps y despliegue</t>
        </is>
      </c>
      <c r="D38" s="3" t="inlineStr">
        <is>
          <t>Ejecutar CI/CD, lint, typecheck, test, build y Sonar</t>
        </is>
      </c>
      <c r="E38" s="3" t="inlineStr">
        <is>
          <t>Tecnológico</t>
        </is>
      </c>
      <c r="F38" s="3" t="inlineStr">
        <is>
          <t>Sí</t>
        </is>
      </c>
      <c r="G38" s="3" t="inlineStr">
        <is>
          <t>RNF-010, RNF-021</t>
        </is>
      </c>
      <c r="H38" s="3" t="inlineStr">
        <is>
          <t>Alta</t>
        </is>
      </c>
      <c r="I38" s="3" t="inlineStr">
        <is>
          <t>Proceso cubierto por código, pruebas y evidencia de matriz BOLT del sistema web.</t>
        </is>
      </c>
    </row>
    <row r="39">
      <c r="A39" s="3" t="inlineStr">
        <is>
          <t>P-038</t>
        </is>
      </c>
      <c r="B39" s="3" t="inlineStr">
        <is>
          <t>MP-11</t>
        </is>
      </c>
      <c r="C39" s="3" t="inlineStr">
        <is>
          <t>Calidad, DevOps y despliegue</t>
        </is>
      </c>
      <c r="D39" s="3" t="inlineStr">
        <is>
          <t>Mantener Docker y portabilidad de entorno</t>
        </is>
      </c>
      <c r="E39" s="3" t="inlineStr">
        <is>
          <t>Tecnológico</t>
        </is>
      </c>
      <c r="F39" s="3" t="inlineStr">
        <is>
          <t>Sí</t>
        </is>
      </c>
      <c r="G39" s="3" t="inlineStr">
        <is>
          <t>RNF-013</t>
        </is>
      </c>
      <c r="H39" s="3" t="inlineStr">
        <is>
          <t>Media</t>
        </is>
      </c>
      <c r="I39" s="3" t="inlineStr">
        <is>
          <t>Proceso cubierto por código, pruebas y evidencia de matriz BOLT del sistema web.</t>
        </is>
      </c>
    </row>
    <row r="40">
      <c r="A40" s="3" t="inlineStr">
        <is>
          <t>P-039</t>
        </is>
      </c>
      <c r="B40" s="3" t="inlineStr">
        <is>
          <t>MP-11</t>
        </is>
      </c>
      <c r="C40" s="3" t="inlineStr">
        <is>
          <t>Calidad, DevOps y despliegue</t>
        </is>
      </c>
      <c r="D40" s="3" t="inlineStr">
        <is>
          <t>Gestionar continuidad, readiness y restore drill</t>
        </is>
      </c>
      <c r="E40" s="3" t="inlineStr">
        <is>
          <t>Tecnológico</t>
        </is>
      </c>
      <c r="F40" s="3" t="inlineStr">
        <is>
          <t>Sí</t>
        </is>
      </c>
      <c r="G40" s="3" t="inlineStr">
        <is>
          <t>RNF-012, RNF-019</t>
        </is>
      </c>
      <c r="H40" s="3" t="inlineStr">
        <is>
          <t>Alta</t>
        </is>
      </c>
      <c r="I40" s="3" t="inlineStr">
        <is>
          <t>Proceso cubierto por código, pruebas y evidencia de matriz BOLT del sistema web.</t>
        </is>
      </c>
    </row>
    <row r="41">
      <c r="A41" s="3" t="inlineStr">
        <is>
          <t>P-040</t>
        </is>
      </c>
      <c r="B41" s="3" t="inlineStr">
        <is>
          <t>MP-11</t>
        </is>
      </c>
      <c r="C41" s="3" t="inlineStr">
        <is>
          <t>Calidad, DevOps y despliegue</t>
        </is>
      </c>
      <c r="D41" s="3" t="inlineStr">
        <is>
          <t>Ejecutar pruebas de estrés y carga</t>
        </is>
      </c>
      <c r="E41" s="3" t="inlineStr">
        <is>
          <t>Tecnológico</t>
        </is>
      </c>
      <c r="F41" s="3" t="inlineStr">
        <is>
          <t>Sí</t>
        </is>
      </c>
      <c r="G41" s="3" t="inlineStr">
        <is>
          <t>RNF-011</t>
        </is>
      </c>
      <c r="H41" s="3" t="inlineStr">
        <is>
          <t>Alta</t>
        </is>
      </c>
      <c r="I41" s="3" t="inlineStr">
        <is>
          <t>Proceso cubierto por código, pruebas y evidencia de matriz BOLT del sistema web.</t>
        </is>
      </c>
    </row>
    <row r="42">
      <c r="A42" s="3" t="inlineStr">
        <is>
          <t>P-041</t>
        </is>
      </c>
      <c r="B42" s="3" t="inlineStr">
        <is>
          <t>MP-12</t>
        </is>
      </c>
      <c r="C42" s="3" t="inlineStr">
        <is>
          <t>Atención y cumplimiento legal del consumidor</t>
        </is>
      </c>
      <c r="D42" s="3" t="inlineStr">
        <is>
          <t>Gestionar libro de reclamaciones</t>
        </is>
      </c>
      <c r="E42" s="3" t="inlineStr">
        <is>
          <t>Soporte</t>
        </is>
      </c>
      <c r="F42" s="3" t="inlineStr">
        <is>
          <t>Sí</t>
        </is>
      </c>
      <c r="G42" s="3" t="inlineStr">
        <is>
          <t>RF-017</t>
        </is>
      </c>
      <c r="H42" s="3" t="inlineStr">
        <is>
          <t>Alta</t>
        </is>
      </c>
      <c r="I42" s="3" t="inlineStr">
        <is>
          <t>Proceso cubierto por código, pruebas y evidencia de matriz BOLT del sistema web.</t>
        </is>
      </c>
    </row>
    <row r="43">
      <c r="A43" s="3" t="inlineStr">
        <is>
          <t>P-042</t>
        </is>
      </c>
      <c r="B43" s="3" t="inlineStr">
        <is>
          <t>MP-12</t>
        </is>
      </c>
      <c r="C43" s="3" t="inlineStr">
        <is>
          <t>Atención y cumplimiento legal del consumidor</t>
        </is>
      </c>
      <c r="D43" s="3" t="inlineStr">
        <is>
          <t>Publicar políticas, términos y privacidad</t>
        </is>
      </c>
      <c r="E43" s="3" t="inlineStr">
        <is>
          <t>Soporte</t>
        </is>
      </c>
      <c r="F43" s="3" t="inlineStr">
        <is>
          <t>Sí</t>
        </is>
      </c>
      <c r="G43" s="3" t="inlineStr">
        <is>
          <t>RF-018</t>
        </is>
      </c>
      <c r="H43" s="3" t="inlineStr">
        <is>
          <t>Media</t>
        </is>
      </c>
      <c r="I43" s="3" t="inlineStr">
        <is>
          <t>Proceso cubierto por código, pruebas y evidencia de matriz BOLT del sistema web.</t>
        </is>
      </c>
    </row>
  </sheetData>
  <autoFilter ref="A1:I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24" customWidth="1" min="3" max="3"/>
    <col width="18" customWidth="1" min="4" max="4"/>
    <col width="42" customWidth="1" min="5" max="5"/>
    <col width="60" customWidth="1" min="6" max="6"/>
    <col width="48" customWidth="1" min="7" max="7"/>
    <col width="48" customWidth="1" min="8" max="8"/>
    <col width="56" customWidth="1" min="9" max="9"/>
  </cols>
  <sheetData>
    <row r="1">
      <c r="A1" s="1" t="inlineStr">
        <is>
          <t>Caso de uso</t>
        </is>
      </c>
      <c r="B1" s="1" t="inlineStr">
        <is>
          <t>Nombre</t>
        </is>
      </c>
      <c r="C1" s="1" t="inlineStr">
        <is>
          <t>Actor principal</t>
        </is>
      </c>
      <c r="D1" s="1" t="inlineStr">
        <is>
          <t>Requisitos cubiertos</t>
        </is>
      </c>
      <c r="E1" s="1" t="inlineStr">
        <is>
          <t>Precondición</t>
        </is>
      </c>
      <c r="F1" s="1" t="inlineStr">
        <is>
          <t>Flujo principal resumido</t>
        </is>
      </c>
      <c r="G1" s="1" t="inlineStr">
        <is>
          <t>Flujo alternativo</t>
        </is>
      </c>
      <c r="H1" s="1" t="inlineStr">
        <is>
          <t>Postcondición</t>
        </is>
      </c>
      <c r="I1" s="1" t="inlineStr">
        <is>
          <t>Evidencia esperada</t>
        </is>
      </c>
    </row>
    <row r="2">
      <c r="A2" s="3" t="inlineStr">
        <is>
          <t>CU-001</t>
        </is>
      </c>
      <c r="B2" s="3" t="inlineStr">
        <is>
          <t>Definir el sistema web de comercio electrónico y gestión administrativa de Calzatura Vilchez, incluyendo tienda pública, catálogo, carrito, checkout, pedidos, ventas físicas, Excel, auditoría, IA, BFF, Supabase, Docker, CI/CD y seguridad.</t>
        </is>
      </c>
      <c r="C2" s="3" t="inlineStr">
        <is>
          <t>Administrador / Servicio IA</t>
        </is>
      </c>
      <c r="D2" s="3" t="inlineStr">
        <is>
          <t>RNF-001</t>
        </is>
      </c>
      <c r="E2" s="3" t="inlineStr">
        <is>
          <t>Usuario con rol requerido, datos mínimos disponibles y entorno web/BFF operativo.</t>
        </is>
      </c>
      <c r="F2" s="3" t="inlineStr">
        <is>
          <t>1) Acceder al módulo. 2) Ingresar o consultar datos. 3) Ejecutar la acción. 4) Validar respuesta, persistencia, auditoría o salida esperada. 5) Registrar evidencia.</t>
        </is>
      </c>
      <c r="G2" s="3" t="inlineStr">
        <is>
          <t>Si los datos son inválidos, no autorizados o incompletos, el sistema muestra error controlado y conserva integridad.</t>
        </is>
      </c>
      <c r="H2" s="3" t="inlineStr">
        <is>
          <t>Sistema web / arquitectura general queda operativo, protegido y trazable según BOLT-WEB-001.</t>
        </is>
      </c>
      <c r="I2" s="3" t="inlineStr">
        <is>
          <t>calzatura-vilchez/README.md:1; documentacion/05-especificacion-requisitos-software-SRS.md:1; calzatura-vilchez/src/domains/README.md:1</t>
        </is>
      </c>
    </row>
    <row r="3">
      <c r="A3" s="3" t="inlineStr">
        <is>
          <t>CU-002</t>
        </is>
      </c>
      <c r="B3" s="3" t="inlineStr">
        <is>
          <t>Implementar una página de inicio comercial con hero, promociones, imágenes, productos destacados y navegación hacia el catálogo.</t>
        </is>
      </c>
      <c r="C3" s="3" t="inlineStr">
        <is>
          <t>Administrador / Servicio IA</t>
        </is>
      </c>
      <c r="D3" s="3" t="inlineStr">
        <is>
          <t>RF-001</t>
        </is>
      </c>
      <c r="E3" s="3" t="inlineStr">
        <is>
          <t>Usuario con rol requerido, datos mínimos disponibles y entorno web/BFF operativo.</t>
        </is>
      </c>
      <c r="F3" s="3" t="inlineStr">
        <is>
          <t>1) Acceder al módulo. 2) Ingresar o consultar datos. 3) Ejecutar la acción. 4) Validar respuesta, persistencia, auditoría o salida esperada. 5) Registrar evidencia.</t>
        </is>
      </c>
      <c r="G3" s="3" t="inlineStr">
        <is>
          <t>Si los datos son inválidos, no autorizados o incompletos, el sistema muestra error controlado y conserva integridad.</t>
        </is>
      </c>
      <c r="H3" s="3" t="inlineStr">
        <is>
          <t>Público / Home queda operativo, protegido y trazable según BOLT-WEB-002.</t>
        </is>
      </c>
      <c r="I3" s="3" t="inlineStr">
        <is>
          <t>calzatura-vilchez/src/domains/publico/components/HomeHeroSection.tsx:40; calzatura-vilchez/src/domains/publico/components/HomeHeroSection.tsx:278; calzatura-vilchez/src/domains/publico/pages/HomePage.tsx:322</t>
        </is>
      </c>
    </row>
    <row r="4">
      <c r="A4" s="3" t="inlineStr">
        <is>
          <t>CU-003</t>
        </is>
      </c>
      <c r="B4" s="3" t="inlineStr">
        <is>
          <t>Permitir que el cliente explore productos activos, filtre por criterios comerciales y navegue al detalle del calzado.</t>
        </is>
      </c>
      <c r="C4" s="3" t="inlineStr">
        <is>
          <t>Administrador / Servicio IA</t>
        </is>
      </c>
      <c r="D4" s="3" t="inlineStr">
        <is>
          <t>RF-002</t>
        </is>
      </c>
      <c r="E4" s="3" t="inlineStr">
        <is>
          <t>Usuario con rol requerido, datos mínimos disponibles y entorno web/BFF operativo.</t>
        </is>
      </c>
      <c r="F4" s="3" t="inlineStr">
        <is>
          <t>1) Acceder al módulo. 2) Ingresar o consultar datos. 3) Ejecutar la acción. 4) Validar respuesta, persistencia, auditoría o salida esperada. 5) Registrar evidencia.</t>
        </is>
      </c>
      <c r="G4" s="3" t="inlineStr">
        <is>
          <t>Si los datos son inválidos, no autorizados o incompletos, el sistema muestra error controlado y conserva integridad.</t>
        </is>
      </c>
      <c r="H4" s="3" t="inlineStr">
        <is>
          <t>Catálogo / Productos queda operativo, protegido y trazable según BOLT-WEB-003.</t>
        </is>
      </c>
      <c r="I4" s="3" t="inlineStr">
        <is>
          <t>calzatura-vilchez/src/domains/productos/pages/ProductsPage.tsx:1; calzatura-vilchez/src/domains/productos/services/products.ts:1; calzatura-vilchez/e2e/catalog-filter-marca.spec.ts:81</t>
        </is>
      </c>
    </row>
    <row r="5">
      <c r="A5" s="3" t="inlineStr">
        <is>
          <t>CU-004</t>
        </is>
      </c>
      <c r="B5" s="3" t="inlineStr">
        <is>
          <t>Corregir la tarjeta de producto para que no tenga controles interactivos anidados y permita selección accesible de talla, favorito y detalle.</t>
        </is>
      </c>
      <c r="C5" s="3" t="inlineStr">
        <is>
          <t>Administrador / Servicio IA</t>
        </is>
      </c>
      <c r="D5" s="3" t="inlineStr">
        <is>
          <t>RF-003</t>
        </is>
      </c>
      <c r="E5" s="3" t="inlineStr">
        <is>
          <t>Usuario con rol requerido, datos mínimos disponibles y entorno web/BFF operativo.</t>
        </is>
      </c>
      <c r="F5" s="3" t="inlineStr">
        <is>
          <t>1) Acceder al módulo. 2) Ingresar o consultar datos. 3) Ejecutar la acción. 4) Validar respuesta, persistencia, auditoría o salida esperada. 5) Registrar evidencia.</t>
        </is>
      </c>
      <c r="G5" s="3" t="inlineStr">
        <is>
          <t>Si los datos son inválidos, no autorizados o incompletos, el sistema muestra error controlado y conserva integridad.</t>
        </is>
      </c>
      <c r="H5" s="3" t="inlineStr">
        <is>
          <t>Catálogo / ProductCard queda operativo, protegido y trazable según BOLT-WEB-004.</t>
        </is>
      </c>
      <c r="I5" s="3" t="inlineStr">
        <is>
          <t>calzatura-vilchez/src/domains/productos/components/ProductCard.tsx:23; calzatura-vilchez/src/domains/productos/components/ProductCard.tsx:101; calzatura-vilchez/src/domains/productos/components/ProductCard.tsx:219; calzatura-vilchez/e2e/catalog-cart.spec.ts:35</t>
        </is>
      </c>
    </row>
    <row r="6">
      <c r="A6" s="3" t="inlineStr">
        <is>
          <t>CU-005</t>
        </is>
      </c>
      <c r="B6" s="3" t="inlineStr">
        <is>
          <t>Gestionar carrito de compra por sesión, evitando persistencia innecesaria de preferencias en equipos compartidos.</t>
        </is>
      </c>
      <c r="C6" s="3" t="inlineStr">
        <is>
          <t>Cliente</t>
        </is>
      </c>
      <c r="D6" s="3" t="inlineStr">
        <is>
          <t>RF-004</t>
        </is>
      </c>
      <c r="E6" s="3" t="inlineStr">
        <is>
          <t>Usuario con rol requerido, datos mínimos disponibles y entorno web/BFF operativo.</t>
        </is>
      </c>
      <c r="F6" s="3" t="inlineStr">
        <is>
          <t>1) Acceder al módulo. 2) Ingresar o consultar datos. 3) Ejecutar la acción. 4) Validar respuesta, persistencia, auditoría o salida esperada. 5) Registrar evidencia.</t>
        </is>
      </c>
      <c r="G6" s="3" t="inlineStr">
        <is>
          <t>Si los datos son inválidos, no autorizados o incompletos, el sistema muestra error controlado y conserva integridad.</t>
        </is>
      </c>
      <c r="H6" s="3" t="inlineStr">
        <is>
          <t>Carrito queda operativo, protegido y trazable según BOLT-WEB-005.</t>
        </is>
      </c>
      <c r="I6" s="3" t="inlineStr">
        <is>
          <t>calzatura-vilchez/src/domains/carrito/context/CartContext.tsx:37; calzatura-vilchez/src/domains/carrito/context/CartContext.tsx:71; calzatura-vilchez/src/domains/carrito/context/CartContext.tsx:92</t>
        </is>
      </c>
    </row>
    <row r="7">
      <c r="A7" s="3" t="inlineStr">
        <is>
          <t>CU-006</t>
        </is>
      </c>
      <c r="B7" s="3" t="inlineStr">
        <is>
          <t>Confirmar pedidos mediante checkout con validación de entrega, stock, precio, método de pago e idempotencia.</t>
        </is>
      </c>
      <c r="C7" s="3" t="inlineStr">
        <is>
          <t>Cliente</t>
        </is>
      </c>
      <c r="D7" s="3" t="inlineStr">
        <is>
          <t>RF-005</t>
        </is>
      </c>
      <c r="E7" s="3" t="inlineStr">
        <is>
          <t>Usuario con rol requerido, datos mínimos disponibles y entorno web/BFF operativo.</t>
        </is>
      </c>
      <c r="F7" s="3" t="inlineStr">
        <is>
          <t>1) Acceder al módulo. 2) Ingresar o consultar datos. 3) Ejecutar la acción. 4) Validar respuesta, persistencia, auditoría o salida esperada. 5) Registrar evidencia.</t>
        </is>
      </c>
      <c r="G7" s="3" t="inlineStr">
        <is>
          <t>Si los datos son inválidos, no autorizados o incompletos, el sistema muestra error controlado y conserva integridad.</t>
        </is>
      </c>
      <c r="H7" s="3" t="inlineStr">
        <is>
          <t>Checkout queda operativo, protegido y trazable según BOLT-WEB-006.</t>
        </is>
      </c>
      <c r="I7" s="3" t="inlineStr">
        <is>
          <t>calzatura-vilchez/src/domains/carrito/pages/CheckoutPage.tsx:40; calzatura-vilchez/src/domains/carrito/pages/CheckoutPage.tsx:53; calzatura-vilchez/src/domains/carrito/pages/CheckoutPage.tsx:152; calzatura-vilchez/e2e/checkout-cod-order.spec.ts:89</t>
        </is>
      </c>
    </row>
    <row r="8">
      <c r="A8" s="3" t="inlineStr">
        <is>
          <t>CU-007</t>
        </is>
      </c>
      <c r="B8" s="3" t="inlineStr">
        <is>
          <t>Mostrar confirmación real de pedido y evitar que una página de éxito confirme un pedido inexistente.</t>
        </is>
      </c>
      <c r="C8" s="3" t="inlineStr">
        <is>
          <t>Cliente</t>
        </is>
      </c>
      <c r="D8" s="3" t="inlineStr">
        <is>
          <t>RF-006</t>
        </is>
      </c>
      <c r="E8" s="3" t="inlineStr">
        <is>
          <t>Usuario con rol requerido, datos mínimos disponibles y entorno web/BFF operativo.</t>
        </is>
      </c>
      <c r="F8" s="3" t="inlineStr">
        <is>
          <t>1) Acceder al módulo. 2) Ingresar o consultar datos. 3) Ejecutar la acción. 4) Validar respuesta, persistencia, auditoría o salida esperada. 5) Registrar evidencia.</t>
        </is>
      </c>
      <c r="G8" s="3" t="inlineStr">
        <is>
          <t>Si los datos son inválidos, no autorizados o incompletos, el sistema muestra error controlado y conserva integridad.</t>
        </is>
      </c>
      <c r="H8" s="3" t="inlineStr">
        <is>
          <t>Pedidos cliente queda operativo, protegido y trazable según BOLT-WEB-007.</t>
        </is>
      </c>
      <c r="I8" s="3" t="inlineStr">
        <is>
          <t>calzatura-vilchez/src/domains/pedidos/pages/OrderSuccessPage.tsx:21; calzatura-vilchez/src/domains/pedidos/pages/OrderSuccessPage.tsx:52; calzatura-vilchez/src/domains/pedidos/pages/OrderSuccessPage.tsx:129</t>
        </is>
      </c>
    </row>
    <row r="9">
      <c r="A9" s="3" t="inlineStr">
        <is>
          <t>CU-008</t>
        </is>
      </c>
      <c r="B9" s="3" t="inlineStr">
        <is>
          <t>Proteger registro, login y consulta DNI con Firebase, App Check, proof secret, rate limit y minimización de PII.</t>
        </is>
      </c>
      <c r="C9" s="3" t="inlineStr">
        <is>
          <t>Visitante / Cliente</t>
        </is>
      </c>
      <c r="D9" s="3" t="inlineStr">
        <is>
          <t>RNF-002</t>
        </is>
      </c>
      <c r="E9" s="3" t="inlineStr">
        <is>
          <t>Usuario con rol requerido, datos mínimos disponibles y entorno web/BFF operativo.</t>
        </is>
      </c>
      <c r="F9" s="3" t="inlineStr">
        <is>
          <t>1) Acceder al módulo. 2) Ingresar o consultar datos. 3) Ejecutar la acción. 4) Validar respuesta, persistencia, auditoría o salida esperada. 5) Registrar evidencia.</t>
        </is>
      </c>
      <c r="G9" s="3" t="inlineStr">
        <is>
          <t>Si los datos son inválidos, no autorizados o incompletos, el sistema muestra error controlado y conserva integridad.</t>
        </is>
      </c>
      <c r="H9" s="3" t="inlineStr">
        <is>
          <t>Usuarios / DNI / PII queda operativo, protegido y trazable según BOLT-WEB-008.</t>
        </is>
      </c>
      <c r="I9" s="3" t="inlineStr">
        <is>
          <t>calzatura-vilchez/src/domains/usuarios/services/dni.ts:1; calzatura-vilchez/bff/lookupDni.cjs:15; calzatura-vilchez/bff/server.cjs:1500</t>
        </is>
      </c>
    </row>
    <row r="10">
      <c r="A10" s="3" t="inlineStr">
        <is>
          <t>CU-009</t>
        </is>
      </c>
      <c r="B10" s="3" t="inlineStr">
        <is>
          <t>Administrar usuarios y roles mostrando datos sensibles enmascarados y evitando elevación de privilegios.</t>
        </is>
      </c>
      <c r="C10" s="3" t="inlineStr">
        <is>
          <t>Administrador</t>
        </is>
      </c>
      <c r="D10" s="3" t="inlineStr">
        <is>
          <t>RF-007</t>
        </is>
      </c>
      <c r="E10" s="3" t="inlineStr">
        <is>
          <t>Usuario con rol requerido, datos mínimos disponibles y entorno web/BFF operativo.</t>
        </is>
      </c>
      <c r="F10" s="3" t="inlineStr">
        <is>
          <t>1) Acceder al módulo. 2) Ingresar o consultar datos. 3) Ejecutar la acción. 4) Validar respuesta, persistencia, auditoría o salida esperada. 5) Registrar evidencia.</t>
        </is>
      </c>
      <c r="G10" s="3" t="inlineStr">
        <is>
          <t>Si los datos son inválidos, no autorizados o incompletos, el sistema muestra error controlado y conserva integridad.</t>
        </is>
      </c>
      <c r="H10" s="3" t="inlineStr">
        <is>
          <t>Admin usuarios queda operativo, protegido y trazable según BOLT-WEB-009.</t>
        </is>
      </c>
      <c r="I10" s="3" t="inlineStr">
        <is>
          <t>calzatura-vilchez/src/domains/usuarios/pages/AdminUsers.tsx:16; calzatura-vilchez/src/domains/usuarios/pages/AdminUsers.tsx:102; calzatura-vilchez/src/domains/usuarios/pages/AdminUsers.tsx:321</t>
        </is>
      </c>
    </row>
    <row r="11">
      <c r="A11" s="3" t="inlineStr">
        <is>
          <t>CU-010</t>
        </is>
      </c>
      <c r="B11" s="3" t="inlineStr">
        <is>
          <t>Administrar productos, variantes, imágenes, códigos, tallas, colores, stock, campañas y reglas comerciales.</t>
        </is>
      </c>
      <c r="C11" s="3" t="inlineStr">
        <is>
          <t>Administrador</t>
        </is>
      </c>
      <c r="D11" s="3" t="inlineStr">
        <is>
          <t>RF-008</t>
        </is>
      </c>
      <c r="E11" s="3" t="inlineStr">
        <is>
          <t>Usuario con rol requerido, datos mínimos disponibles y entorno web/BFF operativo.</t>
        </is>
      </c>
      <c r="F11" s="3" t="inlineStr">
        <is>
          <t>1) Acceder al módulo. 2) Ingresar o consultar datos. 3) Ejecutar la acción. 4) Validar respuesta, persistencia, auditoría o salida esperada. 5) Registrar evidencia.</t>
        </is>
      </c>
      <c r="G11" s="3" t="inlineStr">
        <is>
          <t>Si los datos son inválidos, no autorizados o incompletos, el sistema muestra error controlado y conserva integridad.</t>
        </is>
      </c>
      <c r="H11" s="3" t="inlineStr">
        <is>
          <t>Admin productos queda operativo, protegido y trazable según BOLT-WEB-010.</t>
        </is>
      </c>
      <c r="I11" s="3" t="inlineStr">
        <is>
          <t>calzatura-vilchez/src/domains/productos/pages/useAdminProductsPage.tsx:1; calzatura-vilchez/bff/server.cjs:3313; calzatura-vilchez/bff/server.cjs:3387</t>
        </is>
      </c>
    </row>
    <row r="12">
      <c r="A12" s="3" t="inlineStr">
        <is>
          <t>CU-011</t>
        </is>
      </c>
      <c r="B12" s="3" t="inlineStr">
        <is>
          <t>Controlar stock por talla/color con ingresos, descuentos y restauraciones atómicas.</t>
        </is>
      </c>
      <c r="C12" s="3" t="inlineStr">
        <is>
          <t>Administrador</t>
        </is>
      </c>
      <c r="D12" s="3" t="inlineStr">
        <is>
          <t>RF-009</t>
        </is>
      </c>
      <c r="E12" s="3" t="inlineStr">
        <is>
          <t>Usuario con rol requerido, datos mínimos disponibles y entorno web/BFF operativo.</t>
        </is>
      </c>
      <c r="F12" s="3" t="inlineStr">
        <is>
          <t>1) Acceder al módulo. 2) Ingresar o consultar datos. 3) Ejecutar la acción. 4) Validar respuesta, persistencia, auditoría o salida esperada. 5) Registrar evidencia.</t>
        </is>
      </c>
      <c r="G12" s="3" t="inlineStr">
        <is>
          <t>Si los datos son inválidos, no autorizados o incompletos, el sistema muestra error controlado y conserva integridad.</t>
        </is>
      </c>
      <c r="H12" s="3" t="inlineStr">
        <is>
          <t>Admin productos / Stock queda operativo, protegido y trazable según BOLT-WEB-011.</t>
        </is>
      </c>
      <c r="I12" s="3" t="inlineStr">
        <is>
          <t>calzatura-vilchez/bff/server.cjs:2456; calzatura-vilchez/bff/server.cjs:2494; calzatura-vilchez/bff/server.cjs:2518</t>
        </is>
      </c>
    </row>
    <row r="13">
      <c r="A13" s="3" t="inlineStr">
        <is>
          <t>CU-012</t>
        </is>
      </c>
      <c r="B13" s="3" t="inlineStr">
        <is>
          <t>Administrar pedidos con transiciones de estado permitidas y bloqueo de pago manual para pedidos Stripe.</t>
        </is>
      </c>
      <c r="C13" s="3" t="inlineStr">
        <is>
          <t>Administrador</t>
        </is>
      </c>
      <c r="D13" s="3" t="inlineStr">
        <is>
          <t>RF-010</t>
        </is>
      </c>
      <c r="E13" s="3" t="inlineStr">
        <is>
          <t>Usuario con rol requerido, datos mínimos disponibles y entorno web/BFF operativo.</t>
        </is>
      </c>
      <c r="F13" s="3" t="inlineStr">
        <is>
          <t>1) Acceder al módulo. 2) Ingresar o consultar datos. 3) Ejecutar la acción. 4) Validar respuesta, persistencia, auditoría o salida esperada. 5) Registrar evidencia.</t>
        </is>
      </c>
      <c r="G13" s="3" t="inlineStr">
        <is>
          <t>Si los datos son inválidos, no autorizados o incompletos, el sistema muestra error controlado y conserva integridad.</t>
        </is>
      </c>
      <c r="H13" s="3" t="inlineStr">
        <is>
          <t>Admin pedidos queda operativo, protegido y trazable según BOLT-WEB-012.</t>
        </is>
      </c>
      <c r="I13" s="3" t="inlineStr">
        <is>
          <t>calzatura-vilchez/src/domains/pedidos/pages/AdminOrders.tsx:84; calzatura-vilchez/functions/orderStatusPolicy.js:16; calzatura-vilchez/bff/server.cjs:1815</t>
        </is>
      </c>
    </row>
    <row r="14">
      <c r="A14" s="3" t="inlineStr">
        <is>
          <t>CU-013</t>
        </is>
      </c>
      <c r="B14" s="3" t="inlineStr">
        <is>
          <t>Gestionar fabricantes y marcas con formularios, documentos, búsqueda y eliminación mediante diálogo accesible.</t>
        </is>
      </c>
      <c r="C14" s="3" t="inlineStr">
        <is>
          <t>Administrador</t>
        </is>
      </c>
      <c r="D14" s="3" t="inlineStr">
        <is>
          <t>RF-011</t>
        </is>
      </c>
      <c r="E14" s="3" t="inlineStr">
        <is>
          <t>Usuario con rol requerido, datos mínimos disponibles y entorno web/BFF operativo.</t>
        </is>
      </c>
      <c r="F14" s="3" t="inlineStr">
        <is>
          <t>1) Acceder al módulo. 2) Ingresar o consultar datos. 3) Ejecutar la acción. 4) Validar respuesta, persistencia, auditoría o salida esperada. 5) Registrar evidencia.</t>
        </is>
      </c>
      <c r="G14" s="3" t="inlineStr">
        <is>
          <t>Si los datos son inválidos, no autorizados o incompletos, el sistema muestra error controlado y conserva integridad.</t>
        </is>
      </c>
      <c r="H14" s="3" t="inlineStr">
        <is>
          <t>Admin fabricantes queda operativo, protegido y trazable según BOLT-WEB-013.</t>
        </is>
      </c>
      <c r="I14" s="3" t="inlineStr">
        <is>
          <t>calzatura-vilchez/src/domains/fabricantes/pages/AdminManufacturers.tsx:74; calzatura-vilchez/src/domains/fabricantes/pages/AdminManufacturers.tsx:350; calzatura-vilchez/src/domains/fabricantes/pages/AdminManufacturers.tsx:717</t>
        </is>
      </c>
    </row>
    <row r="15">
      <c r="A15" s="3" t="inlineStr">
        <is>
          <t>CU-014</t>
        </is>
      </c>
      <c r="B15" s="3" t="inlineStr">
        <is>
          <t>Registrar ventas físicas de tienda con selección de producto, talla, precio, documento, encargado y actualización de stock.</t>
        </is>
      </c>
      <c r="C15" s="3" t="inlineStr">
        <is>
          <t>Administrador</t>
        </is>
      </c>
      <c r="D15" s="3" t="inlineStr">
        <is>
          <t>RF-012</t>
        </is>
      </c>
      <c r="E15" s="3" t="inlineStr">
        <is>
          <t>Usuario con rol requerido, datos mínimos disponibles y entorno web/BFF operativo.</t>
        </is>
      </c>
      <c r="F15" s="3" t="inlineStr">
        <is>
          <t>1) Acceder al módulo. 2) Ingresar o consultar datos. 3) Ejecutar la acción. 4) Validar respuesta, persistencia, auditoría o salida esperada. 5) Registrar evidencia.</t>
        </is>
      </c>
      <c r="G15" s="3" t="inlineStr">
        <is>
          <t>Si los datos son inválidos, no autorizados o incompletos, el sistema muestra error controlado y conserva integridad.</t>
        </is>
      </c>
      <c r="H15" s="3" t="inlineStr">
        <is>
          <t>Admin ventas queda operativo, protegido y trazable según BOLT-WEB-014.</t>
        </is>
      </c>
      <c r="I15" s="3" t="inlineStr">
        <is>
          <t>calzatura-vilchez/src/domains/ventas/pages/useSalesPage.ts:295; calzatura-vilchez/src/domains/ventas/pages/adminSalesRegisterLogic.ts:272; calzatura-vilchez/e2e/admin-sales.spec.ts:143</t>
        </is>
      </c>
    </row>
    <row r="16">
      <c r="A16" s="3" t="inlineStr">
        <is>
          <t>CU-015</t>
        </is>
      </c>
      <c r="B16" s="3" t="inlineStr">
        <is>
          <t>Registrar devoluciones de ventas físicas con motivo obligatorio y restauración automática de stock.</t>
        </is>
      </c>
      <c r="C16" s="3" t="inlineStr">
        <is>
          <t>Administrador</t>
        </is>
      </c>
      <c r="D16" s="3" t="inlineStr">
        <is>
          <t>RF-013</t>
        </is>
      </c>
      <c r="E16" s="3" t="inlineStr">
        <is>
          <t>Usuario con rol requerido, datos mínimos disponibles y entorno web/BFF operativo.</t>
        </is>
      </c>
      <c r="F16" s="3" t="inlineStr">
        <is>
          <t>1) Acceder al módulo. 2) Ingresar o consultar datos. 3) Ejecutar la acción. 4) Validar respuesta, persistencia, auditoría o salida esperada. 5) Registrar evidencia.</t>
        </is>
      </c>
      <c r="G16" s="3" t="inlineStr">
        <is>
          <t>Si los datos son inválidos, no autorizados o incompletos, el sistema muestra error controlado y conserva integridad.</t>
        </is>
      </c>
      <c r="H16" s="3" t="inlineStr">
        <is>
          <t>Admin ventas / Devoluciones queda operativo, protegido y trazable según BOLT-WEB-015.</t>
        </is>
      </c>
      <c r="I16" s="3" t="inlineStr">
        <is>
          <t>calzatura-vilchez/src/domains/ventas/pages/AdminSaleDetailModal.tsx:53; calzatura-vilchez/src/domains/ventas/pages/AdminSaleDetailModal.tsx:143; calzatura-vilchez/e2e/admin-sales.spec.ts:229</t>
        </is>
      </c>
    </row>
    <row r="17">
      <c r="A17" s="3" t="inlineStr">
        <is>
          <t>CU-016</t>
        </is>
      </c>
      <c r="B17" s="3" t="inlineStr">
        <is>
          <t>Importar y exportar productos, finanzas y ventas mediante Excel con reglas comerciales actualizadas.</t>
        </is>
      </c>
      <c r="C17" s="3" t="inlineStr">
        <is>
          <t>Administrador</t>
        </is>
      </c>
      <c r="D17" s="3" t="inlineStr">
        <is>
          <t>RF-014</t>
        </is>
      </c>
      <c r="E17" s="3" t="inlineStr">
        <is>
          <t>Usuario con rol requerido, datos mínimos disponibles y entorno web/BFF operativo.</t>
        </is>
      </c>
      <c r="F17" s="3" t="inlineStr">
        <is>
          <t>1) Acceder al módulo. 2) Ingresar o consultar datos. 3) Ejecutar la acción. 4) Validar respuesta, persistencia, auditoría o salida esperada. 5) Registrar evidencia.</t>
        </is>
      </c>
      <c r="G17" s="3" t="inlineStr">
        <is>
          <t>Si los datos son inválidos, no autorizados o incompletos, el sistema muestra error controlado y conserva integridad.</t>
        </is>
      </c>
      <c r="H17" s="3" t="inlineStr">
        <is>
          <t>Admin datos Excel queda operativo, protegido y trazable según BOLT-WEB-016.</t>
        </is>
      </c>
      <c r="I17" s="3" t="inlineStr">
        <is>
          <t>calzatura-vilchez/src/domains/administradores/pages/AdminData.tsx:975; calzatura-vilchez/src/domains/administradores/pages/AdminData.tsx:1060; calzatura-vilchez/src/domains/administradores/utils/importRules.ts:189</t>
        </is>
      </c>
    </row>
    <row r="18">
      <c r="A18" s="3" t="inlineStr">
        <is>
          <t>CU-017</t>
        </is>
      </c>
      <c r="B18" s="3" t="inlineStr">
        <is>
          <t>Neutralizar fórmulas maliciosas al exportar hojas Excel para evitar spreadsheet injection.</t>
        </is>
      </c>
      <c r="C18" s="3" t="inlineStr">
        <is>
          <t>Administrador</t>
        </is>
      </c>
      <c r="D18" s="3" t="inlineStr">
        <is>
          <t>RNF-003</t>
        </is>
      </c>
      <c r="E18" s="3" t="inlineStr">
        <is>
          <t>Usuario con rol requerido, datos mínimos disponibles y entorno web/BFF operativo.</t>
        </is>
      </c>
      <c r="F18" s="3" t="inlineStr">
        <is>
          <t>1) Acceder al módulo. 2) Ingresar o consultar datos. 3) Ejecutar la acción. 4) Validar respuesta, persistencia, auditoría o salida esperada. 5) Registrar evidencia.</t>
        </is>
      </c>
      <c r="G18" s="3" t="inlineStr">
        <is>
          <t>Si los datos son inválidos, no autorizados o incompletos, el sistema muestra error controlado y conserva integridad.</t>
        </is>
      </c>
      <c r="H18" s="3" t="inlineStr">
        <is>
          <t>Admin datos Excel / Seguridad queda operativo, protegido y trazable según BOLT-WEB-017.</t>
        </is>
      </c>
      <c r="I18" s="3" t="inlineStr">
        <is>
          <t>calzatura-vilchez/src/domains/administradores/utils/spreadsheet.ts:52; calzatura-vilchez/src/domains/administradores/utils/spreadsheet.ts:67; calzatura-vilchez/src/__tests__/spreadsheet.test.ts:1</t>
        </is>
      </c>
    </row>
    <row r="19">
      <c r="A19" s="3" t="inlineStr">
        <is>
          <t>CU-018</t>
        </is>
      </c>
      <c r="B19" s="3" t="inlineStr">
        <is>
          <t>Proteger auditoría para que solo registre acciones permitidas, sin eventos arbitrarios desde navegador ni PII innecesaria.</t>
        </is>
      </c>
      <c r="C19" s="3" t="inlineStr">
        <is>
          <t>Equipo técnico / Administrador</t>
        </is>
      </c>
      <c r="D19" s="3" t="inlineStr">
        <is>
          <t>RNF-004</t>
        </is>
      </c>
      <c r="E19" s="3" t="inlineStr">
        <is>
          <t>Usuario con rol requerido, datos mínimos disponibles y entorno web/BFF operativo.</t>
        </is>
      </c>
      <c r="F19" s="3" t="inlineStr">
        <is>
          <t>1) Acceder al módulo. 2) Ingresar o consultar datos. 3) Ejecutar la acción. 4) Validar respuesta, persistencia, auditoría o salida esperada. 5) Registrar evidencia.</t>
        </is>
      </c>
      <c r="G19" s="3" t="inlineStr">
        <is>
          <t>Si los datos son inválidos, no autorizados o incompletos, el sistema muestra error controlado y conserva integridad.</t>
        </is>
      </c>
      <c r="H19" s="3" t="inlineStr">
        <is>
          <t>Auditoría queda operativo, protegido y trazable según BOLT-WEB-018.</t>
        </is>
      </c>
      <c r="I19" s="3" t="inlineStr">
        <is>
          <t>calzatura-vilchez/bff/server.cjs:636; calzatura-vilchez/bff/server.cjs:683; calzatura-vilchez/bff/server.cjs:3630; calzatura-vilchez/bff/auditPii.cjs:1</t>
        </is>
      </c>
    </row>
    <row r="20">
      <c r="A20" s="3" t="inlineStr">
        <is>
          <t>CU-019</t>
        </is>
      </c>
      <c r="B20" s="3" t="inlineStr">
        <is>
          <t>Validar pagos Stripe mediante webhook firmado y bloquear marcado manual de pagado para pedidos Stripe.</t>
        </is>
      </c>
      <c r="C20" s="3" t="inlineStr">
        <is>
          <t>Equipo técnico / Administrador</t>
        </is>
      </c>
      <c r="D20" s="3" t="inlineStr">
        <is>
          <t>RNF-005</t>
        </is>
      </c>
      <c r="E20" s="3" t="inlineStr">
        <is>
          <t>Usuario con rol requerido, datos mínimos disponibles y entorno web/BFF operativo.</t>
        </is>
      </c>
      <c r="F20" s="3" t="inlineStr">
        <is>
          <t>1) Acceder al módulo. 2) Ingresar o consultar datos. 3) Ejecutar la acción. 4) Validar respuesta, persistencia, auditoría o salida esperada. 5) Registrar evidencia.</t>
        </is>
      </c>
      <c r="G20" s="3" t="inlineStr">
        <is>
          <t>Si los datos son inválidos, no autorizados o incompletos, el sistema muestra error controlado y conserva integridad.</t>
        </is>
      </c>
      <c r="H20" s="3" t="inlineStr">
        <is>
          <t>Pagos / Stripe queda operativo, protegido y trazable según BOLT-WEB-019.</t>
        </is>
      </c>
      <c r="I20" s="3" t="inlineStr">
        <is>
          <t>calzatura-vilchez/bff/server.cjs:1815; calzatura-vilchez/bff/server.cjs:2543; calzatura-vilchez/bff/server.cjs:2718; calzatura-vilchez/bff/server.cjs:2726</t>
        </is>
      </c>
    </row>
    <row r="21">
      <c r="A21" s="3" t="inlineStr">
        <is>
          <t>CU-020</t>
        </is>
      </c>
      <c r="B21" s="3" t="inlineStr">
        <is>
          <t>Aplicar rate limit y monitoreo de seguridad en endpoints públicos para evitar abuso, scraping o enumeración.</t>
        </is>
      </c>
      <c r="C21" s="3" t="inlineStr">
        <is>
          <t>Equipo técnico / Administrador</t>
        </is>
      </c>
      <c r="D21" s="3" t="inlineStr">
        <is>
          <t>RNF-006</t>
        </is>
      </c>
      <c r="E21" s="3" t="inlineStr">
        <is>
          <t>Usuario con rol requerido, datos mínimos disponibles y entorno web/BFF operativo.</t>
        </is>
      </c>
      <c r="F21" s="3" t="inlineStr">
        <is>
          <t>1) Acceder al módulo. 2) Ingresar o consultar datos. 3) Ejecutar la acción. 4) Validar respuesta, persistencia, auditoría o salida esperada. 5) Registrar evidencia.</t>
        </is>
      </c>
      <c r="G21" s="3" t="inlineStr">
        <is>
          <t>Si los datos son inválidos, no autorizados o incompletos, el sistema muestra error controlado y conserva integridad.</t>
        </is>
      </c>
      <c r="H21" s="3" t="inlineStr">
        <is>
          <t>BFF / Seguridad queda operativo, protegido y trazable según BOLT-WEB-020.</t>
        </is>
      </c>
      <c r="I21" s="3" t="inlineStr">
        <is>
          <t>calzatura-vilchez/bff/publicRateLimit.cjs:7; calzatura-vilchez/bff/publicRateLimit.cjs:76; calzatura-vilchez/bff/securityMonitor.cjs:1</t>
        </is>
      </c>
    </row>
    <row r="22">
      <c r="A22" s="3" t="inlineStr">
        <is>
          <t>CU-021</t>
        </is>
      </c>
      <c r="B22" s="3" t="inlineStr">
        <is>
          <t>Ejecutar pruebas Docker/ZAP de seguridad dinámica para confirmar que no existen hallazgos altos o críticos.</t>
        </is>
      </c>
      <c r="C22" s="3" t="inlineStr">
        <is>
          <t>Equipo técnico / Administrador</t>
        </is>
      </c>
      <c r="D22" s="3" t="inlineStr">
        <is>
          <t>RNF-007</t>
        </is>
      </c>
      <c r="E22" s="3" t="inlineStr">
        <is>
          <t>Usuario con rol requerido, datos mínimos disponibles y entorno web/BFF operativo.</t>
        </is>
      </c>
      <c r="F22" s="3" t="inlineStr">
        <is>
          <t>1) Acceder al módulo. 2) Ingresar o consultar datos. 3) Ejecutar la acción. 4) Validar respuesta, persistencia, auditoría o salida esperada. 5) Registrar evidencia.</t>
        </is>
      </c>
      <c r="G22" s="3" t="inlineStr">
        <is>
          <t>Si los datos son inválidos, no autorizados o incompletos, el sistema muestra error controlado y conserva integridad.</t>
        </is>
      </c>
      <c r="H22" s="3" t="inlineStr">
        <is>
          <t>Seguridad DAST queda operativo, protegido y trazable según BOLT-WEB-021.</t>
        </is>
      </c>
      <c r="I22" s="3" t="inlineStr">
        <is>
          <t>zap-reports/zap.yaml:24; zap-reports/zap-production-report-v2.json:2; zap-reports/zap-baseline-report.html:219</t>
        </is>
      </c>
    </row>
    <row r="23">
      <c r="A23" s="3" t="inlineStr">
        <is>
          <t>CU-022</t>
        </is>
      </c>
      <c r="B23" s="3" t="inlineStr">
        <is>
          <t>Controlar acceso a Supabase mediante RLS, revoke y RPC administrativas únicamente por BFF/service_role.</t>
        </is>
      </c>
      <c r="C23" s="3" t="inlineStr">
        <is>
          <t>Equipo técnico / Administrador</t>
        </is>
      </c>
      <c r="D23" s="3" t="inlineStr">
        <is>
          <t>RNF-008</t>
        </is>
      </c>
      <c r="E23" s="3" t="inlineStr">
        <is>
          <t>Usuario con rol requerido, datos mínimos disponibles y entorno web/BFF operativo.</t>
        </is>
      </c>
      <c r="F23" s="3" t="inlineStr">
        <is>
          <t>1) Acceder al módulo. 2) Ingresar o consultar datos. 3) Ejecutar la acción. 4) Validar respuesta, persistencia, auditoría o salida esperada. 5) Registrar evidencia.</t>
        </is>
      </c>
      <c r="G23" s="3" t="inlineStr">
        <is>
          <t>Si los datos son inválidos, no autorizados o incompletos, el sistema muestra error controlado y conserva integridad.</t>
        </is>
      </c>
      <c r="H23" s="3" t="inlineStr">
        <is>
          <t>Supabase / RLS / RPC queda operativo, protegido y trazable según BOLT-WEB-022.</t>
        </is>
      </c>
      <c r="I23" s="3" t="inlineStr">
        <is>
          <t>calzatura-vilchez/supabase/migrations/20260519150000_harden_admin_rpcs_bff_only.sql:1; calzatura-vilchez/supabase/migrations/20260520120000_harden_auditoria_service_role.sql:1; calzatura-vilchez/src/__tests__/supabaseDirectAccessGuard.test.js:1</t>
        </is>
      </c>
    </row>
    <row r="24">
      <c r="A24" s="3" t="inlineStr">
        <is>
          <t>CU-023</t>
        </is>
      </c>
      <c r="B24" s="3" t="inlineStr">
        <is>
          <t>Minimizar y proteger datos personales del usuario, especialmente DNI, correo y teléfono.</t>
        </is>
      </c>
      <c r="C24" s="3" t="inlineStr">
        <is>
          <t>Equipo técnico / Administrador</t>
        </is>
      </c>
      <c r="D24" s="3" t="inlineStr">
        <is>
          <t>RNF-009</t>
        </is>
      </c>
      <c r="E24" s="3" t="inlineStr">
        <is>
          <t>Usuario con rol requerido, datos mínimos disponibles y entorno web/BFF operativo.</t>
        </is>
      </c>
      <c r="F24" s="3" t="inlineStr">
        <is>
          <t>1) Acceder al módulo. 2) Ingresar o consultar datos. 3) Ejecutar la acción. 4) Validar respuesta, persistencia, auditoría o salida esperada. 5) Registrar evidencia.</t>
        </is>
      </c>
      <c r="G24" s="3" t="inlineStr">
        <is>
          <t>Si los datos son inválidos, no autorizados o incompletos, el sistema muestra error controlado y conserva integridad.</t>
        </is>
      </c>
      <c r="H24" s="3" t="inlineStr">
        <is>
          <t>Supabase / PII queda operativo, protegido y trazable según BOLT-WEB-023.</t>
        </is>
      </c>
      <c r="I24" s="3" t="inlineStr">
        <is>
          <t>calzatura-vilchez/supabase/migrations/20260504230000_pgcrypto_dni_protection.sql:1; calzatura-vilchez/src/utils/maskEmail.ts:1; calzatura-vilchez/src/domains/usuarios/pages/AdminUsers.tsx:321</t>
        </is>
      </c>
    </row>
    <row r="25">
      <c r="A25" s="3" t="inlineStr">
        <is>
          <t>CU-024</t>
        </is>
      </c>
      <c r="B25" s="3" t="inlineStr">
        <is>
          <t>Mostrar predicciones, métricas, IRE, campañas y estado de suficiencia de datos para apoyar decisiones comerciales.</t>
        </is>
      </c>
      <c r="C25" s="3" t="inlineStr">
        <is>
          <t>Administrador / Servicio IA</t>
        </is>
      </c>
      <c r="D25" s="3" t="inlineStr">
        <is>
          <t>RF-015</t>
        </is>
      </c>
      <c r="E25" s="3" t="inlineStr">
        <is>
          <t>Usuario con rol requerido, datos mínimos disponibles y entorno web/BFF operativo.</t>
        </is>
      </c>
      <c r="F25" s="3" t="inlineStr">
        <is>
          <t>1) Acceder al módulo. 2) Ingresar o consultar datos. 3) Ejecutar la acción. 4) Validar respuesta, persistencia, auditoría o salida esperada. 5) Registrar evidencia.</t>
        </is>
      </c>
      <c r="G25" s="3" t="inlineStr">
        <is>
          <t>Si los datos son inválidos, no autorizados o incompletos, el sistema muestra error controlado y conserva integridad.</t>
        </is>
      </c>
      <c r="H25" s="3" t="inlineStr">
        <is>
          <t>IA / Predicciones queda operativo, protegido y trazable según BOLT-WEB-024.</t>
        </is>
      </c>
      <c r="I25" s="3" t="inlineStr">
        <is>
          <t>calzatura-vilchez/src/domains/administradores/pages/AdminPredictions.tsx:1; calzatura-vilchez/src/domains/administradores/predictions/AdminPredictionsDashboardTabs.tsx:425; scripts/ai-backtest-gate.mjs:1</t>
        </is>
      </c>
    </row>
    <row r="26">
      <c r="A26" s="3" t="inlineStr">
        <is>
          <t>CU-025</t>
        </is>
      </c>
      <c r="B26" s="3" t="inlineStr">
        <is>
          <t>Ejecutar CI/CD con lint, typecheck, pruebas unitarias, E2E, migraciones, Docker, Functions y gates de despliegue.</t>
        </is>
      </c>
      <c r="C26" s="3" t="inlineStr">
        <is>
          <t>Equipo técnico / Administrador</t>
        </is>
      </c>
      <c r="D26" s="3" t="inlineStr">
        <is>
          <t>RNF-010</t>
        </is>
      </c>
      <c r="E26" s="3" t="inlineStr">
        <is>
          <t>Usuario con rol requerido, datos mínimos disponibles y entorno web/BFF operativo.</t>
        </is>
      </c>
      <c r="F26" s="3" t="inlineStr">
        <is>
          <t>1) Acceder al módulo. 2) Ingresar o consultar datos. 3) Ejecutar la acción. 4) Validar respuesta, persistencia, auditoría o salida esperada. 5) Registrar evidencia.</t>
        </is>
      </c>
      <c r="G26" s="3" t="inlineStr">
        <is>
          <t>Si los datos son inválidos, no autorizados o incompletos, el sistema muestra error controlado y conserva integridad.</t>
        </is>
      </c>
      <c r="H26" s="3" t="inlineStr">
        <is>
          <t>DevOps / CI/CD queda operativo, protegido y trazable según BOLT-WEB-025.</t>
        </is>
      </c>
      <c r="I26" s="3" t="inlineStr">
        <is>
          <t>.github/workflows/ci.yml:1; .github/workflows/ci-integration.yml:1; .github/workflows/deploy-production.yml:1</t>
        </is>
      </c>
    </row>
    <row r="27">
      <c r="A27" s="3" t="inlineStr">
        <is>
          <t>CU-026</t>
        </is>
      </c>
      <c r="B27" s="3" t="inlineStr">
        <is>
          <t>Validar capacidad web mediante pruebas de estrés y carga con autocannon y k6, incluyendo evidencia de 2000 conexiones concurrentes.</t>
        </is>
      </c>
      <c r="C27" s="3" t="inlineStr">
        <is>
          <t>Equipo técnico / Administrador</t>
        </is>
      </c>
      <c r="D27" s="3" t="inlineStr">
        <is>
          <t>RNF-011</t>
        </is>
      </c>
      <c r="E27" s="3" t="inlineStr">
        <is>
          <t>Usuario con rol requerido, datos mínimos disponibles y entorno web/BFF operativo.</t>
        </is>
      </c>
      <c r="F27" s="3" t="inlineStr">
        <is>
          <t>1) Acceder al módulo. 2) Ingresar o consultar datos. 3) Ejecutar la acción. 4) Validar respuesta, persistencia, auditoría o salida esperada. 5) Registrar evidencia.</t>
        </is>
      </c>
      <c r="G27" s="3" t="inlineStr">
        <is>
          <t>Si los datos son inválidos, no autorizados o incompletos, el sistema muestra error controlado y conserva integridad.</t>
        </is>
      </c>
      <c r="H27" s="3" t="inlineStr">
        <is>
          <t>Rendimiento / Stress queda operativo, protegido y trazable según BOLT-WEB-026.</t>
        </is>
      </c>
      <c r="I27" s="3" t="inlineStr">
        <is>
          <t>artifacts/load-tests/autocannon-home-c2000-20260528-231905.json:1; load-tests/scenarios/read-mixed-2000.js:31; artifacts/load-tests/summary-500.json:1; artifacts/load-tests/summary-1000.json:1</t>
        </is>
      </c>
    </row>
    <row r="28">
      <c r="A28" s="3" t="inlineStr">
        <is>
          <t>CU-027</t>
        </is>
      </c>
      <c r="B28" s="3" t="inlineStr">
        <is>
          <t>Mantener continuidad operativa mediante readiness checks, restore drill y evidencia de recuperación.</t>
        </is>
      </c>
      <c r="C28" s="3" t="inlineStr">
        <is>
          <t>Equipo técnico / Administrador</t>
        </is>
      </c>
      <c r="D28" s="3" t="inlineStr">
        <is>
          <t>RNF-012</t>
        </is>
      </c>
      <c r="E28" s="3" t="inlineStr">
        <is>
          <t>Usuario con rol requerido, datos mínimos disponibles y entorno web/BFF operativo.</t>
        </is>
      </c>
      <c r="F28" s="3" t="inlineStr">
        <is>
          <t>1) Acceder al módulo. 2) Ingresar o consultar datos. 3) Ejecutar la acción. 4) Validar respuesta, persistencia, auditoría o salida esperada. 5) Registrar evidencia.</t>
        </is>
      </c>
      <c r="G28" s="3" t="inlineStr">
        <is>
          <t>Si los datos son inválidos, no autorizados o incompletos, el sistema muestra error controlado y conserva integridad.</t>
        </is>
      </c>
      <c r="H28" s="3" t="inlineStr">
        <is>
          <t>Continuidad queda operativo, protegido y trazable según BOLT-WEB-027.</t>
        </is>
      </c>
      <c r="I28" s="3" t="inlineStr">
        <is>
          <t>.github/workflows/ops-controls.yml:1; artifacts/restore-drill/local-test.json:1; docs/ops/readiness.sample.json:1</t>
        </is>
      </c>
    </row>
    <row r="29">
      <c r="A29" s="3" t="inlineStr">
        <is>
          <t>CU-028</t>
        </is>
      </c>
      <c r="B29" s="3" t="inlineStr">
        <is>
          <t>Gestionar campañas comerciales, outlet, nueva temporada y landings conectadas al catálogo.</t>
        </is>
      </c>
      <c r="C29" s="3" t="inlineStr">
        <is>
          <t>Administrador / Servicio IA</t>
        </is>
      </c>
      <c r="D29" s="3" t="inlineStr">
        <is>
          <t>RF-016</t>
        </is>
      </c>
      <c r="E29" s="3" t="inlineStr">
        <is>
          <t>Usuario con rol requerido, datos mínimos disponibles y entorno web/BFF operativo.</t>
        </is>
      </c>
      <c r="F29" s="3" t="inlineStr">
        <is>
          <t>1) Acceder al módulo. 2) Ingresar o consultar datos. 3) Ejecutar la acción. 4) Validar respuesta, persistencia, auditoría o salida esperada. 5) Registrar evidencia.</t>
        </is>
      </c>
      <c r="G29" s="3" t="inlineStr">
        <is>
          <t>Si los datos son inválidos, no autorizados o incompletos, el sistema muestra error controlado y conserva integridad.</t>
        </is>
      </c>
      <c r="H29" s="3" t="inlineStr">
        <is>
          <t>Campañas queda operativo, protegido y trazable según BOLT-WEB-028.</t>
        </is>
      </c>
      <c r="I29" s="3" t="inlineStr">
        <is>
          <t>calzatura-vilchez/src/domains/productos/components/ProductsPageCampaignSection.tsx:1; calzatura-vilchez/e2e/campaign-landings.spec.ts:1; calzatura-vilchez/e2e/admin-campana.spec.ts:84</t>
        </is>
      </c>
    </row>
    <row r="30">
      <c r="A30" s="3" t="inlineStr">
        <is>
          <t>CU-029</t>
        </is>
      </c>
      <c r="B30" s="3" t="inlineStr">
        <is>
          <t>Registrar, consultar y administrar hojas del libro de reclamaciones con validación, constancia y seguimiento.</t>
        </is>
      </c>
      <c r="C30" s="3" t="inlineStr">
        <is>
          <t>Visitante / Cliente</t>
        </is>
      </c>
      <c r="D30" s="3" t="inlineStr">
        <is>
          <t>RF-017</t>
        </is>
      </c>
      <c r="E30" s="3" t="inlineStr">
        <is>
          <t>Usuario con rol requerido, datos mínimos disponibles y entorno web/BFF operativo.</t>
        </is>
      </c>
      <c r="F30" s="3" t="inlineStr">
        <is>
          <t>1) Acceder al módulo. 2) Ingresar o consultar datos. 3) Ejecutar la acción. 4) Validar respuesta, persistencia, auditoría o salida esperada. 5) Registrar evidencia.</t>
        </is>
      </c>
      <c r="G30" s="3" t="inlineStr">
        <is>
          <t>Si los datos son inválidos, no autorizados o incompletos, el sistema muestra error controlado y conserva integridad.</t>
        </is>
      </c>
      <c r="H30" s="3" t="inlineStr">
        <is>
          <t>Libro de reclamaciones queda operativo, protegido y trazable según BOLT-WEB-029.</t>
        </is>
      </c>
      <c r="I30" s="3" t="inlineStr">
        <is>
          <t>calzatura-vilchez/src/domains/publico/components/ComplaintBookForm.tsx:1; calzatura-vilchez/bff/libroReclamaciones.cjs:1; calzatura-vilchez/src/__tests__/adminComplaints.test.ts:1</t>
        </is>
      </c>
    </row>
    <row r="31">
      <c r="A31" s="3" t="inlineStr">
        <is>
          <t>CU-030</t>
        </is>
      </c>
      <c r="B31" s="3" t="inlineStr">
        <is>
          <t>Gestionar consentimiento de cookies mediante banner, modal de preferencias y almacenamiento controlado.</t>
        </is>
      </c>
      <c r="C31" s="3" t="inlineStr">
        <is>
          <t>Visitante / Cliente</t>
        </is>
      </c>
      <c r="D31" s="3" t="inlineStr">
        <is>
          <t>RF-018</t>
        </is>
      </c>
      <c r="E31" s="3" t="inlineStr">
        <is>
          <t>Usuario con rol requerido, datos mínimos disponibles y entorno web/BFF operativo.</t>
        </is>
      </c>
      <c r="F31" s="3" t="inlineStr">
        <is>
          <t>1) Acceder al módulo. 2) Ingresar o consultar datos. 3) Ejecutar la acción. 4) Validar respuesta, persistencia, auditoría o salida esperada. 5) Registrar evidencia.</t>
        </is>
      </c>
      <c r="G31" s="3" t="inlineStr">
        <is>
          <t>Si los datos son inválidos, no autorizados o incompletos, el sistema muestra error controlado y conserva integridad.</t>
        </is>
      </c>
      <c r="H31" s="3" t="inlineStr">
        <is>
          <t>Privacidad / Cookies queda operativo, protegido y trazable según BOLT-WEB-030.</t>
        </is>
      </c>
      <c r="I31" s="3" t="inlineStr">
        <is>
          <t>calzatura-vilchez/src/context/CookieConsentContext.tsx:1; calzatura-vilchez/src/components/cookies/CookieBanner.tsx:1; calzatura-vilchez/e2e/cookie-consent.spec.ts:1</t>
        </is>
      </c>
    </row>
    <row r="32">
      <c r="A32" s="3" t="inlineStr">
        <is>
          <t>CU-031</t>
        </is>
      </c>
      <c r="B32" s="3" t="inlineStr">
        <is>
          <t>Garantizar portabilidad mediante Docker, Docker Compose, Dockerfile frontend, servicio IA dockerizado y emulador Firebase.</t>
        </is>
      </c>
      <c r="C32" s="3" t="inlineStr">
        <is>
          <t>Equipo técnico / Administrador</t>
        </is>
      </c>
      <c r="D32" s="3" t="inlineStr">
        <is>
          <t>RNF-013</t>
        </is>
      </c>
      <c r="E32" s="3" t="inlineStr">
        <is>
          <t>Usuario con rol requerido, datos mínimos disponibles y entorno web/BFF operativo.</t>
        </is>
      </c>
      <c r="F32" s="3" t="inlineStr">
        <is>
          <t>1) Acceder al módulo. 2) Ingresar o consultar datos. 3) Ejecutar la acción. 4) Validar respuesta, persistencia, auditoría o salida esperada. 5) Registrar evidencia.</t>
        </is>
      </c>
      <c r="G32" s="3" t="inlineStr">
        <is>
          <t>Si los datos son inválidos, no autorizados o incompletos, el sistema muestra error controlado y conserva integridad.</t>
        </is>
      </c>
      <c r="H32" s="3" t="inlineStr">
        <is>
          <t>Docker / Portabilidad queda operativo, protegido y trazable según BOLT-WEB-031.</t>
        </is>
      </c>
      <c r="I32" s="3" t="inlineStr">
        <is>
          <t>docker-compose.yml:1; calzatura-vilchez/Dockerfile:1; ai-service/Dockerfile:1; firebase-emulator/Dockerfile:1; .github/workflows/ci.yml:224</t>
        </is>
      </c>
    </row>
    <row r="33">
      <c r="A33" s="3" t="inlineStr">
        <is>
          <t>CU-032</t>
        </is>
      </c>
      <c r="B33" s="3" t="inlineStr">
        <is>
          <t>Gestionar favoritos privados por cuenta para que cada cliente conserve sus productos de interés sin mezclar datos entre usuarios.</t>
        </is>
      </c>
      <c r="C33" s="3" t="inlineStr">
        <is>
          <t>Cliente</t>
        </is>
      </c>
      <c r="D33" s="3" t="inlineStr">
        <is>
          <t>RF-019</t>
        </is>
      </c>
      <c r="E33" s="3" t="inlineStr">
        <is>
          <t>Usuario con rol requerido, datos mínimos disponibles y entorno web/BFF operativo.</t>
        </is>
      </c>
      <c r="F33" s="3" t="inlineStr">
        <is>
          <t>1) Acceder al módulo. 2) Ingresar o consultar datos. 3) Ejecutar la acción. 4) Validar respuesta, persistencia, auditoría o salida esperada. 5) Registrar evidencia.</t>
        </is>
      </c>
      <c r="G33" s="3" t="inlineStr">
        <is>
          <t>Si los datos son inválidos, no autorizados o incompletos, el sistema muestra error controlado y conserva integridad.</t>
        </is>
      </c>
      <c r="H33" s="3" t="inlineStr">
        <is>
          <t>Cliente / Favoritos queda operativo, protegido y trazable según BOLT-WEB-032.</t>
        </is>
      </c>
      <c r="I33" s="3" t="inlineStr">
        <is>
          <t>calzatura-vilchez/src/domains/clientes/context/FavoritesContext.tsx:70; calzatura-vilchez/src/domains/clientes/pages/FavoritesPage.tsx:13; calzatura-vilchez/e2e/favorites-isolation.spec.ts:52</t>
        </is>
      </c>
    </row>
    <row r="34">
      <c r="A34" s="3" t="inlineStr">
        <is>
          <t>CU-033</t>
        </is>
      </c>
      <c r="B34" s="3" t="inlineStr">
        <is>
          <t>Permitir que el cliente gestione su perfil con validaciones de teléfono, dirección y errores claros sin degradar la identidad legal validada por DNI.</t>
        </is>
      </c>
      <c r="C34" s="3" t="inlineStr">
        <is>
          <t>Cliente</t>
        </is>
      </c>
      <c r="D34" s="3" t="inlineStr">
        <is>
          <t>RF-020</t>
        </is>
      </c>
      <c r="E34" s="3" t="inlineStr">
        <is>
          <t>Usuario con rol requerido, datos mínimos disponibles y entorno web/BFF operativo.</t>
        </is>
      </c>
      <c r="F34" s="3" t="inlineStr">
        <is>
          <t>1) Acceder al módulo. 2) Ingresar o consultar datos. 3) Ejecutar la acción. 4) Validar respuesta, persistencia, auditoría o salida esperada. 5) Registrar evidencia.</t>
        </is>
      </c>
      <c r="G34" s="3" t="inlineStr">
        <is>
          <t>Si los datos son inválidos, no autorizados o incompletos, el sistema muestra error controlado y conserva integridad.</t>
        </is>
      </c>
      <c r="H34" s="3" t="inlineStr">
        <is>
          <t>Cliente / Perfil queda operativo, protegido y trazable según BOLT-WEB-033.</t>
        </is>
      </c>
      <c r="I34" s="3" t="inlineStr">
        <is>
          <t>calzatura-vilchez/src/domains/usuarios/pages/ProfilePage.tsx:34; calzatura-vilchez/bff/server.cjs:3610; calzatura-vilchez/bff/server.cjs:3727; calzatura-vilchez/e2e/profile-save.spec.ts:34</t>
        </is>
      </c>
    </row>
    <row r="35">
      <c r="A35" s="3" t="inlineStr">
        <is>
          <t>CU-034</t>
        </is>
      </c>
      <c r="B35" s="3" t="inlineStr">
        <is>
          <t>Mostrar historial de pedidos del cliente distinguiendo carga, lista vacía, fallo de red y detalle accesible de cada pedido.</t>
        </is>
      </c>
      <c r="C35" s="3" t="inlineStr">
        <is>
          <t>Cliente</t>
        </is>
      </c>
      <c r="D35" s="3" t="inlineStr">
        <is>
          <t>RF-021</t>
        </is>
      </c>
      <c r="E35" s="3" t="inlineStr">
        <is>
          <t>Usuario con rol requerido, datos mínimos disponibles y entorno web/BFF operativo.</t>
        </is>
      </c>
      <c r="F35" s="3" t="inlineStr">
        <is>
          <t>1) Acceder al módulo. 2) Ingresar o consultar datos. 3) Ejecutar la acción. 4) Validar respuesta, persistencia, auditoría o salida esperada. 5) Registrar evidencia.</t>
        </is>
      </c>
      <c r="G35" s="3" t="inlineStr">
        <is>
          <t>Si los datos son inválidos, no autorizados o incompletos, el sistema muestra error controlado y conserva integridad.</t>
        </is>
      </c>
      <c r="H35" s="3" t="inlineStr">
        <is>
          <t>Pedidos cliente / Historial queda operativo, protegido y trazable según BOLT-WEB-034.</t>
        </is>
      </c>
      <c r="I35" s="3" t="inlineStr">
        <is>
          <t>calzatura-vilchez/src/domains/pedidos/pages/OrderHistoryPage.tsx:16; calzatura-vilchez/src/domains/pedidos/pages/OrderHistoryPage.tsx:32; calzatura-vilchez/src/domains/pedidos/pages/OrderHistoryPage.tsx:89; calzatura-vilchez/bff/server.cjs:2805</t>
        </is>
      </c>
    </row>
    <row r="36">
      <c r="A36" s="3" t="inlineStr">
        <is>
          <t>CU-035</t>
        </is>
      </c>
      <c r="B36" s="3" t="inlineStr">
        <is>
          <t>Consolidar el dashboard administrativo con KPIs, pedidos recientes, auditoría y estados de error/reintento para toma de decisiones.</t>
        </is>
      </c>
      <c r="C36" s="3" t="inlineStr">
        <is>
          <t>Administrador</t>
        </is>
      </c>
      <c r="D36" s="3" t="inlineStr">
        <is>
          <t>RF-022</t>
        </is>
      </c>
      <c r="E36" s="3" t="inlineStr">
        <is>
          <t>Usuario con rol requerido, datos mínimos disponibles y entorno web/BFF operativo.</t>
        </is>
      </c>
      <c r="F36" s="3" t="inlineStr">
        <is>
          <t>1) Acceder al módulo. 2) Ingresar o consultar datos. 3) Ejecutar la acción. 4) Validar respuesta, persistencia, auditoría o salida esperada. 5) Registrar evidencia.</t>
        </is>
      </c>
      <c r="G36" s="3" t="inlineStr">
        <is>
          <t>Si los datos son inválidos, no autorizados o incompletos, el sistema muestra error controlado y conserva integridad.</t>
        </is>
      </c>
      <c r="H36" s="3" t="inlineStr">
        <is>
          <t>Admin / Dashboard queda operativo, protegido y trazable según BOLT-WEB-035.</t>
        </is>
      </c>
      <c r="I36" s="3" t="inlineStr">
        <is>
          <t>calzatura-vilchez/src/domains/administradores/pages/AdminDashboard.tsx:331; calzatura-vilchez/src/domains/administradores/utils/adminDashboardMetrics.ts:60; calzatura-vilchez/e2e/admin-dashboard.spec.ts:131</t>
        </is>
      </c>
    </row>
    <row r="37">
      <c r="A37" s="3" t="inlineStr">
        <is>
          <t>CU-036</t>
        </is>
      </c>
      <c r="B37" s="3" t="inlineStr">
        <is>
          <t>Gestionar imágenes de producto mediante firma de subida en servidor para mantener catálogo visual sin exponer secretos Cloudinary al navegador.</t>
        </is>
      </c>
      <c r="C37" s="3" t="inlineStr">
        <is>
          <t>Administrador</t>
        </is>
      </c>
      <c r="D37" s="3" t="inlineStr">
        <is>
          <t>RF-023</t>
        </is>
      </c>
      <c r="E37" s="3" t="inlineStr">
        <is>
          <t>Usuario con rol requerido, datos mínimos disponibles y entorno web/BFF operativo.</t>
        </is>
      </c>
      <c r="F37" s="3" t="inlineStr">
        <is>
          <t>1) Acceder al módulo. 2) Ingresar o consultar datos. 3) Ejecutar la acción. 4) Validar respuesta, persistencia, auditoría o salida esperada. 5) Registrar evidencia.</t>
        </is>
      </c>
      <c r="G37" s="3" t="inlineStr">
        <is>
          <t>Si los datos son inválidos, no autorizados o incompletos, el sistema muestra error controlado y conserva integridad.</t>
        </is>
      </c>
      <c r="H37" s="3" t="inlineStr">
        <is>
          <t>Admin productos / Imágenes queda operativo, protegido y trazable según BOLT-WEB-036.</t>
        </is>
      </c>
      <c r="I37" s="3" t="inlineStr">
        <is>
          <t>calzatura-vilchez/bff/cloudinarySign.cjs:6; calzatura-vilchez/bff/server.cjs:3172; calzatura-vilchez/src/domains/productos/pages/useAdminProductsPage.tsx:82; calzatura-vilchez/src/domains/productos/pages/adminProductsView/AdminProductEditGallery.tsx:5</t>
        </is>
      </c>
    </row>
    <row r="38">
      <c r="A38" s="3" t="inlineStr">
        <is>
          <t>CU-037</t>
        </is>
      </c>
      <c r="B38" s="3" t="inlineStr">
        <is>
          <t>Calcular entrega, distancia y costo de envío con validación de ubicación, degradación controlada del mapa y límites de zona antes de confirmar el pedido.</t>
        </is>
      </c>
      <c r="C38" s="3" t="inlineStr">
        <is>
          <t>Cliente</t>
        </is>
      </c>
      <c r="D38" s="3" t="inlineStr">
        <is>
          <t>RF-024</t>
        </is>
      </c>
      <c r="E38" s="3" t="inlineStr">
        <is>
          <t>Usuario con rol requerido, datos mínimos disponibles y entorno web/BFF operativo.</t>
        </is>
      </c>
      <c r="F38" s="3" t="inlineStr">
        <is>
          <t>1) Acceder al módulo. 2) Ingresar o consultar datos. 3) Ejecutar la acción. 4) Validar respuesta, persistencia, auditoría o salida esperada. 5) Registrar evidencia.</t>
        </is>
      </c>
      <c r="G38" s="3" t="inlineStr">
        <is>
          <t>Si los datos son inválidos, no autorizados o incompletos, el sistema muestra error controlado y conserva integridad.</t>
        </is>
      </c>
      <c r="H38" s="3" t="inlineStr">
        <is>
          <t>Checkout / Entrega queda operativo, protegido y trazable según BOLT-WEB-037.</t>
        </is>
      </c>
      <c r="I38" s="3" t="inlineStr">
        <is>
          <t>calzatura-vilchez/src/domains/carrito/components/CheckoutDeliveryBox.tsx:293; calzatura-vilchez/src/domains/carrito/components/CheckoutDeliveryMap.tsx:203; calzatura-vilchez/bff/deliveryPricing.cjs:2; calzatura-vilchez/bff/server.cjs:1520</t>
        </is>
      </c>
    </row>
    <row r="39">
      <c r="A39" s="3" t="inlineStr">
        <is>
          <t>CU-038</t>
        </is>
      </c>
      <c r="B39" s="3" t="inlineStr">
        <is>
          <t>Importar datos administrativos desde Excel con configuración por colección, validación previa, transformación de filas y envío al BFF.</t>
        </is>
      </c>
      <c r="C39" s="3" t="inlineStr">
        <is>
          <t>Administrador</t>
        </is>
      </c>
      <c r="D39" s="3" t="inlineStr">
        <is>
          <t>RF-025</t>
        </is>
      </c>
      <c r="E39" s="3" t="inlineStr">
        <is>
          <t>Usuario con rol requerido, datos mínimos disponibles y entorno web/BFF operativo.</t>
        </is>
      </c>
      <c r="F39" s="3" t="inlineStr">
        <is>
          <t>1) Acceder al módulo. 2) Ingresar o consultar datos. 3) Ejecutar la acción. 4) Validar respuesta, persistencia, auditoría o salida esperada. 5) Registrar evidencia.</t>
        </is>
      </c>
      <c r="G39" s="3" t="inlineStr">
        <is>
          <t>Si los datos son inválidos, no autorizados o incompletos, el sistema muestra error controlado y conserva integridad.</t>
        </is>
      </c>
      <c r="H39" s="3" t="inlineStr">
        <is>
          <t>Admin datos / Importación Excel queda operativo, protegido y trazable según BOLT-WEB-038.</t>
        </is>
      </c>
      <c r="I39" s="3" t="inlineStr">
        <is>
          <t>calzatura-vilchez/src/domains/administradores/pages/AdminData.tsx:975; calzatura-vilchez/src/domains/administradores/pages/AdminData.tsx:1060; calzatura-vilchez/src/domains/administradores/utils/importRules.ts:189; calzatura-vilchez/bff/server.cjs:2925</t>
        </is>
      </c>
    </row>
    <row r="40">
      <c r="A40" s="3" t="inlineStr">
        <is>
          <t>CU-039</t>
        </is>
      </c>
      <c r="B40" s="3" t="inlineStr">
        <is>
          <t>Exportar plantillas, escenarios de prueba, productos, finanzas y ventas en formato Excel con sanitización de celdas para evitar fórmulas peligrosas.</t>
        </is>
      </c>
      <c r="C40" s="3" t="inlineStr">
        <is>
          <t>Administrador</t>
        </is>
      </c>
      <c r="D40" s="3" t="inlineStr">
        <is>
          <t>RF-026</t>
        </is>
      </c>
      <c r="E40" s="3" t="inlineStr">
        <is>
          <t>Usuario con rol requerido, datos mínimos disponibles y entorno web/BFF operativo.</t>
        </is>
      </c>
      <c r="F40" s="3" t="inlineStr">
        <is>
          <t>1) Acceder al módulo. 2) Ingresar o consultar datos. 3) Ejecutar la acción. 4) Validar respuesta, persistencia, auditoría o salida esperada. 5) Registrar evidencia.</t>
        </is>
      </c>
      <c r="G40" s="3" t="inlineStr">
        <is>
          <t>Si los datos son inválidos, no autorizados o incompletos, el sistema muestra error controlado y conserva integridad.</t>
        </is>
      </c>
      <c r="H40" s="3" t="inlineStr">
        <is>
          <t>Admin datos / Exportación Excel queda operativo, protegido y trazable según BOLT-WEB-039.</t>
        </is>
      </c>
      <c r="I40" s="3" t="inlineStr">
        <is>
          <t>calzatura-vilchez/src/domains/administradores/utils/spreadsheet.ts:52; calzatura-vilchez/src/domains/administradores/utils/spreadsheet.ts:67; calzatura-vilchez/src/domains/administradores/pages/AdminData.tsx:632; calzatura-vilchez/src/domains/administradores/pages/AdminData.tsx:969</t>
        </is>
      </c>
    </row>
    <row r="41">
      <c r="A41" s="3" t="inlineStr">
        <is>
          <t>CU-040</t>
        </is>
      </c>
      <c r="B41" s="3" t="inlineStr">
        <is>
          <t>Administrar datos de prueba importados por escenario, permitiendo identificar, listar y eliminar registros de prueba sin afectar datos reales.</t>
        </is>
      </c>
      <c r="C41" s="3" t="inlineStr">
        <is>
          <t>Administrador</t>
        </is>
      </c>
      <c r="D41" s="3" t="inlineStr">
        <is>
          <t>RF-027</t>
        </is>
      </c>
      <c r="E41" s="3" t="inlineStr">
        <is>
          <t>Usuario con rol requerido, datos mínimos disponibles y entorno web/BFF operativo.</t>
        </is>
      </c>
      <c r="F41" s="3" t="inlineStr">
        <is>
          <t>1) Acceder al módulo. 2) Ingresar o consultar datos. 3) Ejecutar la acción. 4) Validar respuesta, persistencia, auditoría o salida esperada. 5) Registrar evidencia.</t>
        </is>
      </c>
      <c r="G41" s="3" t="inlineStr">
        <is>
          <t>Si los datos son inválidos, no autorizados o incompletos, el sistema muestra error controlado y conserva integridad.</t>
        </is>
      </c>
      <c r="H41" s="3" t="inlineStr">
        <is>
          <t>Admin datos / Escenarios queda operativo, protegido y trazable según BOLT-WEB-040.</t>
        </is>
      </c>
      <c r="I41" s="3" t="inlineStr">
        <is>
          <t>calzatura-vilchez/src/domains/administradores/pages/AdminData.tsx:1193; calzatura-vilchez/src/domains/administradores/pages/AdminData.tsx:1506; calzatura-vilchez/bff/server.cjs:3043; calzatura-vilchez/bff/server.cjs:3057</t>
        </is>
      </c>
    </row>
    <row r="42">
      <c r="A42" s="3" t="inlineStr">
        <is>
          <t>CU-041</t>
        </is>
      </c>
      <c r="B42" s="3" t="inlineStr">
        <is>
          <t>Aplicar reglas comerciales de producto para categoría, tipo, estilo, material, costos, márgenes y precio público antes de persistir el catálogo.</t>
        </is>
      </c>
      <c r="C42" s="3" t="inlineStr">
        <is>
          <t>Administrador</t>
        </is>
      </c>
      <c r="D42" s="3" t="inlineStr">
        <is>
          <t>RF-028</t>
        </is>
      </c>
      <c r="E42" s="3" t="inlineStr">
        <is>
          <t>Usuario con rol requerido, datos mínimos disponibles y entorno web/BFF operativo.</t>
        </is>
      </c>
      <c r="F42" s="3" t="inlineStr">
        <is>
          <t>1) Acceder al módulo. 2) Ingresar o consultar datos. 3) Ejecutar la acción. 4) Validar respuesta, persistencia, auditoría o salida esperada. 5) Registrar evidencia.</t>
        </is>
      </c>
      <c r="G42" s="3" t="inlineStr">
        <is>
          <t>Si los datos son inválidos, no autorizados o incompletos, el sistema muestra error controlado y conserva integridad.</t>
        </is>
      </c>
      <c r="H42" s="3" t="inlineStr">
        <is>
          <t>Admin productos / Reglas comerciales queda operativo, protegido y trazable según BOLT-WEB-041.</t>
        </is>
      </c>
      <c r="I42" s="3" t="inlineStr">
        <is>
          <t>calzatura-vilchez/src/domains/productos/utils/commercialRules.ts:172; calzatura-vilchez/src/domains/productos/pages/adminProductsInternals.ts:284; calzatura-vilchez/e2e/admin-commercial-guards.spec.ts:73</t>
        </is>
      </c>
    </row>
    <row r="43">
      <c r="A43" s="3" t="inlineStr">
        <is>
          <t>CU-042</t>
        </is>
      </c>
      <c r="B43" s="3" t="inlineStr">
        <is>
          <t>Evitar duplicidad de códigos de producto y variantes para sostener trazabilidad de stock, ventas, importaciones y auditoría.</t>
        </is>
      </c>
      <c r="C43" s="3" t="inlineStr">
        <is>
          <t>Administrador</t>
        </is>
      </c>
      <c r="D43" s="3" t="inlineStr">
        <is>
          <t>RF-029</t>
        </is>
      </c>
      <c r="E43" s="3" t="inlineStr">
        <is>
          <t>Usuario con rol requerido, datos mínimos disponibles y entorno web/BFF operativo.</t>
        </is>
      </c>
      <c r="F43" s="3" t="inlineStr">
        <is>
          <t>1) Acceder al módulo. 2) Ingresar o consultar datos. 3) Ejecutar la acción. 4) Validar respuesta, persistencia, auditoría o salida esperada. 5) Registrar evidencia.</t>
        </is>
      </c>
      <c r="G43" s="3" t="inlineStr">
        <is>
          <t>Si los datos son inválidos, no autorizados o incompletos, el sistema muestra error controlado y conserva integridad.</t>
        </is>
      </c>
      <c r="H43" s="3" t="inlineStr">
        <is>
          <t>Admin productos / Códigos queda operativo, protegido y trazable según BOLT-WEB-042.</t>
        </is>
      </c>
      <c r="I43" s="3" t="inlineStr">
        <is>
          <t>calzatura-vilchez/bff/server.cjs:405; calzatura-vilchez/bff/server.cjs:2129; calzatura-vilchez/bff/server.cjs:3431; calzatura-vilchez/e2e/admin-code-guards.spec.ts:100</t>
        </is>
      </c>
    </row>
    <row r="44">
      <c r="A44" s="3" t="inlineStr">
        <is>
          <t>CU-043</t>
        </is>
      </c>
      <c r="B44" s="3" t="inlineStr">
        <is>
          <t>Proteger información financiera de producto para que costos y márgenes no queden expuestos en el catálogo público ni en escrituras directas del cliente.</t>
        </is>
      </c>
      <c r="C44" s="3" t="inlineStr">
        <is>
          <t>Administrador</t>
        </is>
      </c>
      <c r="D44" s="3" t="inlineStr">
        <is>
          <t>RF-030</t>
        </is>
      </c>
      <c r="E44" s="3" t="inlineStr">
        <is>
          <t>Usuario con rol requerido, datos mínimos disponibles y entorno web/BFF operativo.</t>
        </is>
      </c>
      <c r="F44" s="3" t="inlineStr">
        <is>
          <t>1) Acceder al módulo. 2) Ingresar o consultar datos. 3) Ejecutar la acción. 4) Validar respuesta, persistencia, auditoría o salida esperada. 5) Registrar evidencia.</t>
        </is>
      </c>
      <c r="G44" s="3" t="inlineStr">
        <is>
          <t>Si los datos son inválidos, no autorizados o incompletos, el sistema muestra error controlado y conserva integridad.</t>
        </is>
      </c>
      <c r="H44" s="3" t="inlineStr">
        <is>
          <t>Admin productos / Finanzas queda operativo, protegido y trazable según BOLT-WEB-043.</t>
        </is>
      </c>
      <c r="I44" s="3" t="inlineStr">
        <is>
          <t>calzatura-vilchez/bff/server.cjs:3193; calzatura-vilchez/bff/server.cjs:3226; calzatura-vilchez/bff/server.cjs:3247; calzatura-vilchez/supabase/migrations/20260519150000_harden_admin_rpcs_bff_only.sql:1</t>
        </is>
      </c>
    </row>
    <row r="45">
      <c r="A45" s="3" t="inlineStr">
        <is>
          <t>CU-044</t>
        </is>
      </c>
      <c r="B45" s="3" t="inlineStr">
        <is>
          <t>Impedir que el frontend web reintroduzca escrituras directas a tablas sensibles de Supabase fuera del BFF autorizado.</t>
        </is>
      </c>
      <c r="C45" s="3" t="inlineStr">
        <is>
          <t>Equipo técnico / Administrador</t>
        </is>
      </c>
      <c r="D45" s="3" t="inlineStr">
        <is>
          <t>RNF-014</t>
        </is>
      </c>
      <c r="E45" s="3" t="inlineStr">
        <is>
          <t>Usuario con rol requerido, datos mínimos disponibles y entorno web/BFF operativo.</t>
        </is>
      </c>
      <c r="F45" s="3" t="inlineStr">
        <is>
          <t>1) Acceder al módulo. 2) Ingresar o consultar datos. 3) Ejecutar la acción. 4) Validar respuesta, persistencia, auditoría o salida esperada. 5) Registrar evidencia.</t>
        </is>
      </c>
      <c r="G45" s="3" t="inlineStr">
        <is>
          <t>Si los datos son inválidos, no autorizados o incompletos, el sistema muestra error controlado y conserva integridad.</t>
        </is>
      </c>
      <c r="H45" s="3" t="inlineStr">
        <is>
          <t>Supabase / Anti-regresión queda operativo, protegido y trazable según BOLT-WEB-044.</t>
        </is>
      </c>
      <c r="I45" s="3" t="inlineStr">
        <is>
          <t>calzatura-vilchez/src/__tests__/supabaseDirectAccessGuard.test.js:1; calzatura-vilchez/supabase/RLS-MATRIX.md:9; calzatura-vilchez/supabase/rls-matrix.contract.json:2</t>
        </is>
      </c>
    </row>
    <row r="46">
      <c r="A46" s="3" t="inlineStr">
        <is>
          <t>CU-045</t>
        </is>
      </c>
      <c r="B46" s="3" t="inlineStr">
        <is>
          <t>Validar matriz RLS de Supabase para asegurar que tablas, RPC y permisos públicos/autenticados mantengan el modelo de acceso previsto.</t>
        </is>
      </c>
      <c r="C46" s="3" t="inlineStr">
        <is>
          <t>Equipo técnico / Administrador</t>
        </is>
      </c>
      <c r="D46" s="3" t="inlineStr">
        <is>
          <t>RNF-015</t>
        </is>
      </c>
      <c r="E46" s="3" t="inlineStr">
        <is>
          <t>Usuario con rol requerido, datos mínimos disponibles y entorno web/BFF operativo.</t>
        </is>
      </c>
      <c r="F46" s="3" t="inlineStr">
        <is>
          <t>1) Acceder al módulo. 2) Ingresar o consultar datos. 3) Ejecutar la acción. 4) Validar respuesta, persistencia, auditoría o salida esperada. 5) Registrar evidencia.</t>
        </is>
      </c>
      <c r="G46" s="3" t="inlineStr">
        <is>
          <t>Si los datos son inválidos, no autorizados o incompletos, el sistema muestra error controlado y conserva integridad.</t>
        </is>
      </c>
      <c r="H46" s="3" t="inlineStr">
        <is>
          <t>Supabase / RLS queda operativo, protegido y trazable según BOLT-WEB-045.</t>
        </is>
      </c>
      <c r="I46" s="3" t="inlineStr">
        <is>
          <t>calzatura-vilchez/supabase/RLS-MATRIX.md:1; calzatura-vilchez/supabase/migrations/20260529140000_harden_anon_authenticated_data_plane.sql:2; calzatura-vilchez/supabase/migrations/20260531200000_supabase_security_linter_remediation.sql:51</t>
        </is>
      </c>
    </row>
    <row r="47">
      <c r="A47" s="3" t="inlineStr">
        <is>
          <t>CU-046</t>
        </is>
      </c>
      <c r="B47" s="3" t="inlineStr">
        <is>
          <t>Redactar PII en auditoría histórica y en inserciones nuevas para evitar exposición de DNI, correos, teléfonos, direcciones y nombres personales.</t>
        </is>
      </c>
      <c r="C47" s="3" t="inlineStr">
        <is>
          <t>Equipo técnico / Administrador</t>
        </is>
      </c>
      <c r="D47" s="3" t="inlineStr">
        <is>
          <t>RNF-016</t>
        </is>
      </c>
      <c r="E47" s="3" t="inlineStr">
        <is>
          <t>Usuario con rol requerido, datos mínimos disponibles y entorno web/BFF operativo.</t>
        </is>
      </c>
      <c r="F47" s="3" t="inlineStr">
        <is>
          <t>1) Acceder al módulo. 2) Ingresar o consultar datos. 3) Ejecutar la acción. 4) Validar respuesta, persistencia, auditoría o salida esperada. 5) Registrar evidencia.</t>
        </is>
      </c>
      <c r="G47" s="3" t="inlineStr">
        <is>
          <t>Si los datos son inválidos, no autorizados o incompletos, el sistema muestra error controlado y conserva integridad.</t>
        </is>
      </c>
      <c r="H47" s="3" t="inlineStr">
        <is>
          <t>Auditoría / PII queda operativo, protegido y trazable según BOLT-WEB-046.</t>
        </is>
      </c>
      <c r="I47" s="3" t="inlineStr">
        <is>
          <t>calzatura-vilchez/supabase/migrations/20260521130000_redact_historical_auditoria_pii.sql:1; calzatura-vilchez/supabase/migrations/20260530150000_auditoria_pii_enforce_at_insert.sql:2; calzatura-vilchez/src/__tests__/bffAuditEndpointPolicy.test.js:22</t>
        </is>
      </c>
    </row>
    <row r="48">
      <c r="A48" s="3" t="inlineStr">
        <is>
          <t>CU-047</t>
        </is>
      </c>
      <c r="B48" s="3" t="inlineStr">
        <is>
          <t>Mantener una máquina de estados única para pedidos, usada tanto por BFF como por Cloud Functions heredadas, evitando transiciones inválidas.</t>
        </is>
      </c>
      <c r="C48" s="3" t="inlineStr">
        <is>
          <t>Visitante / Cliente</t>
        </is>
      </c>
      <c r="D48" s="3" t="inlineStr">
        <is>
          <t>RF-031</t>
        </is>
      </c>
      <c r="E48" s="3" t="inlineStr">
        <is>
          <t>Usuario con rol requerido, datos mínimos disponibles y entorno web/BFF operativo.</t>
        </is>
      </c>
      <c r="F48" s="3" t="inlineStr">
        <is>
          <t>1) Acceder al módulo. 2) Ingresar o consultar datos. 3) Ejecutar la acción. 4) Validar respuesta, persistencia, auditoría o salida esperada. 5) Registrar evidencia.</t>
        </is>
      </c>
      <c r="G48" s="3" t="inlineStr">
        <is>
          <t>Si los datos son inválidos, no autorizados o incompletos, el sistema muestra error controlado y conserva integridad.</t>
        </is>
      </c>
      <c r="H48" s="3" t="inlineStr">
        <is>
          <t>Pedidos / Estados queda operativo, protegido y trazable según BOLT-WEB-047.</t>
        </is>
      </c>
      <c r="I48" s="3" t="inlineStr">
        <is>
          <t>calzatura-vilchez/functions/orderStatusPolicy.js:16; calzatura-vilchez/bff/server.cjs:1811; calzatura-vilchez/bff/server.cjs:2735; calzatura-vilchez/src/__tests__/bffOrderStatusPolicy.test.js:9</t>
        </is>
      </c>
    </row>
    <row r="49">
      <c r="A49" s="3" t="inlineStr">
        <is>
          <t>CU-048</t>
        </is>
      </c>
      <c r="B49" s="3" t="inlineStr">
        <is>
          <t>Aplicar rate limiting e identificación de IP de cliente para reducir abuso en endpoints públicos como login, DNI, catálogo y cotización de entrega.</t>
        </is>
      </c>
      <c r="C49" s="3" t="inlineStr">
        <is>
          <t>Equipo técnico / Administrador</t>
        </is>
      </c>
      <c r="D49" s="3" t="inlineStr">
        <is>
          <t>RNF-017</t>
        </is>
      </c>
      <c r="E49" s="3" t="inlineStr">
        <is>
          <t>Usuario con rol requerido, datos mínimos disponibles y entorno web/BFF operativo.</t>
        </is>
      </c>
      <c r="F49" s="3" t="inlineStr">
        <is>
          <t>1) Acceder al módulo. 2) Ingresar o consultar datos. 3) Ejecutar la acción. 4) Validar respuesta, persistencia, auditoría o salida esperada. 5) Registrar evidencia.</t>
        </is>
      </c>
      <c r="G49" s="3" t="inlineStr">
        <is>
          <t>Si los datos son inválidos, no autorizados o incompletos, el sistema muestra error controlado y conserva integridad.</t>
        </is>
      </c>
      <c r="H49" s="3" t="inlineStr">
        <is>
          <t>BFF / Rate limit queda operativo, protegido y trazable según BOLT-WEB-048.</t>
        </is>
      </c>
      <c r="I49" s="3" t="inlineStr">
        <is>
          <t>calzatura-vilchez/bff/publicRateLimit.cjs:7; calzatura-vilchez/bff/publicRateLimit.cjs:76; calzatura-vilchez/bff/clientIp.cjs:17; calzatura-vilchez/bff/server.cjs:1500</t>
        </is>
      </c>
    </row>
    <row r="50">
      <c r="A50" s="3" t="inlineStr">
        <is>
          <t>CU-049</t>
        </is>
      </c>
      <c r="B50" s="3" t="inlineStr">
        <is>
          <t>Permitir ventas físicas al trabajador con panel acotado, validación de stock por talla y registro atómico de venta.</t>
        </is>
      </c>
      <c r="C50" s="3" t="inlineStr">
        <is>
          <t>Trabajador / Administrador</t>
        </is>
      </c>
      <c r="D50" s="3" t="inlineStr">
        <is>
          <t>RF-032</t>
        </is>
      </c>
      <c r="E50" s="3" t="inlineStr">
        <is>
          <t>Usuario con rol requerido, datos mínimos disponibles y entorno web/BFF operativo.</t>
        </is>
      </c>
      <c r="F50" s="3" t="inlineStr">
        <is>
          <t>1) Acceder al módulo. 2) Ingresar o consultar datos. 3) Ejecutar la acción. 4) Validar respuesta, persistencia, auditoría o salida esperada. 5) Registrar evidencia.</t>
        </is>
      </c>
      <c r="G50" s="3" t="inlineStr">
        <is>
          <t>Si los datos son inválidos, no autorizados o incompletos, el sistema muestra error controlado y conserva integridad.</t>
        </is>
      </c>
      <c r="H50" s="3" t="inlineStr">
        <is>
          <t>Trabajador / Ventas queda operativo, protegido y trazable según BOLT-WEB-049.</t>
        </is>
      </c>
      <c r="I50" s="3" t="inlineStr">
        <is>
          <t>calzatura-vilchez/src/domains/trabajadores/pages/StaffSales.tsx:4; calzatura-vilchez/src/domains/trabajadores/components/StaffLayout.tsx:10; calzatura-vilchez/bff/server.cjs:2092; calzatura-vilchez/e2e/admin-sales.spec.ts:143</t>
        </is>
      </c>
    </row>
    <row r="51">
      <c r="A51" s="3" t="inlineStr">
        <is>
          <t>CU-050</t>
        </is>
      </c>
      <c r="B51" s="3" t="inlineStr">
        <is>
          <t>Registrar usuarios con validaciones de DNI, correo, celular, contraseña y confirmación, mostrando errores accesibles por campo.</t>
        </is>
      </c>
      <c r="C51" s="3" t="inlineStr">
        <is>
          <t>Cliente</t>
        </is>
      </c>
      <c r="D51" s="3" t="inlineStr">
        <is>
          <t>RF-033</t>
        </is>
      </c>
      <c r="E51" s="3" t="inlineStr">
        <is>
          <t>Usuario con rol requerido, datos mínimos disponibles y entorno web/BFF operativo.</t>
        </is>
      </c>
      <c r="F51" s="3" t="inlineStr">
        <is>
          <t>1) Acceder al módulo. 2) Ingresar o consultar datos. 3) Ejecutar la acción. 4) Validar respuesta, persistencia, auditoría o salida esperada. 5) Registrar evidencia.</t>
        </is>
      </c>
      <c r="G51" s="3" t="inlineStr">
        <is>
          <t>Si los datos son inválidos, no autorizados o incompletos, el sistema muestra error controlado y conserva integridad.</t>
        </is>
      </c>
      <c r="H51" s="3" t="inlineStr">
        <is>
          <t>Público / Registro queda operativo, protegido y trazable según BOLT-WEB-050.</t>
        </is>
      </c>
      <c r="I51" s="3" t="inlineStr">
        <is>
          <t>calzatura-vilchez/src/domains/publico/pages/Register.tsx:15; calzatura-vilchez/src/domains/publico/pages/registerFormValidation.ts:30; calzatura-vilchez/src/domains/usuarios/services/dni.ts:26; calzatura-vilchez/bff/server.cjs:1500</t>
        </is>
      </c>
    </row>
    <row r="52">
      <c r="A52" s="3" t="inlineStr">
        <is>
          <t>CU-051</t>
        </is>
      </c>
      <c r="B52" s="3" t="inlineStr">
        <is>
          <t>Validar App Check y reCAPTCHA en producción para proteger endpoints de identidad sin subir secretos privados al frontend.</t>
        </is>
      </c>
      <c r="C52" s="3" t="inlineStr">
        <is>
          <t>Equipo técnico / Administrador</t>
        </is>
      </c>
      <c r="D52" s="3" t="inlineStr">
        <is>
          <t>RNF-018</t>
        </is>
      </c>
      <c r="E52" s="3" t="inlineStr">
        <is>
          <t>Usuario con rol requerido, datos mínimos disponibles y entorno web/BFF operativo.</t>
        </is>
      </c>
      <c r="F52" s="3" t="inlineStr">
        <is>
          <t>1) Acceder al módulo. 2) Ingresar o consultar datos. 3) Ejecutar la acción. 4) Validar respuesta, persistencia, auditoría o salida esperada. 5) Registrar evidencia.</t>
        </is>
      </c>
      <c r="G52" s="3" t="inlineStr">
        <is>
          <t>Si los datos son inválidos, no autorizados o incompletos, el sistema muestra error controlado y conserva integridad.</t>
        </is>
      </c>
      <c r="H52" s="3" t="inlineStr">
        <is>
          <t>Firebase / App Check queda operativo, protegido y trazable según BOLT-WEB-051.</t>
        </is>
      </c>
      <c r="I52" s="3" t="inlineStr">
        <is>
          <t>calzatura-vilchez/bff/server.cjs:67; calzatura-vilchez/bff/server.cjs:1500; scripts/verify-deploy-firebase-secrets.mjs:1; calzatura-vilchez/bff/env.example:83</t>
        </is>
      </c>
    </row>
    <row r="53">
      <c r="A53" s="3" t="inlineStr">
        <is>
          <t>CU-052</t>
        </is>
      </c>
      <c r="B53" s="3" t="inlineStr">
        <is>
          <t>Ejecutar controles de continuidad operativa con readiness checks, restore drill versionado y evidencia de recuperación.</t>
        </is>
      </c>
      <c r="C53" s="3" t="inlineStr">
        <is>
          <t>Equipo técnico / Administrador</t>
        </is>
      </c>
      <c r="D53" s="3" t="inlineStr">
        <is>
          <t>RNF-019</t>
        </is>
      </c>
      <c r="E53" s="3" t="inlineStr">
        <is>
          <t>Usuario con rol requerido, datos mínimos disponibles y entorno web/BFF operativo.</t>
        </is>
      </c>
      <c r="F53" s="3" t="inlineStr">
        <is>
          <t>1) Acceder al módulo. 2) Ingresar o consultar datos. 3) Ejecutar la acción. 4) Validar respuesta, persistencia, auditoría o salida esperada. 5) Registrar evidencia.</t>
        </is>
      </c>
      <c r="G53" s="3" t="inlineStr">
        <is>
          <t>Si los datos son inválidos, no autorizados o incompletos, el sistema muestra error controlado y conserva integridad.</t>
        </is>
      </c>
      <c r="H53" s="3" t="inlineStr">
        <is>
          <t>DevOps / Continuidad queda operativo, protegido y trazable según BOLT-WEB-052.</t>
        </is>
      </c>
      <c r="I53" s="3" t="inlineStr">
        <is>
          <t>.github/workflows/ops-controls.yml:1; artifacts/restore-drill/local-test.json:1; docs/ops/readiness.sample.json:1</t>
        </is>
      </c>
    </row>
    <row r="54">
      <c r="A54" s="3" t="inlineStr">
        <is>
          <t>CU-053</t>
        </is>
      </c>
      <c r="B54" s="3" t="inlineStr">
        <is>
          <t>Controlar backtesting, suficiencia de datos, reporte de calidad y métricas de predicción para que la IA sea auditable.</t>
        </is>
      </c>
      <c r="C54" s="3" t="inlineStr">
        <is>
          <t>Administrador / Servicio IA</t>
        </is>
      </c>
      <c r="D54" s="3" t="inlineStr">
        <is>
          <t>RNF-020</t>
        </is>
      </c>
      <c r="E54" s="3" t="inlineStr">
        <is>
          <t>Usuario con rol requerido, datos mínimos disponibles y entorno web/BFF operativo.</t>
        </is>
      </c>
      <c r="F54" s="3" t="inlineStr">
        <is>
          <t>1) Acceder al módulo. 2) Ingresar o consultar datos. 3) Ejecutar la acción. 4) Validar respuesta, persistencia, auditoría o salida esperada. 5) Registrar evidencia.</t>
        </is>
      </c>
      <c r="G54" s="3" t="inlineStr">
        <is>
          <t>Si los datos son inválidos, no autorizados o incompletos, el sistema muestra error controlado y conserva integridad.</t>
        </is>
      </c>
      <c r="H54" s="3" t="inlineStr">
        <is>
          <t>IA / Gobierno de modelo queda operativo, protegido y trazable según BOLT-WEB-053.</t>
        </is>
      </c>
      <c r="I54" s="3" t="inlineStr">
        <is>
          <t>calzatura-vilchez/src/domains/administradores/pages/AdminPredictions.tsx:5; calzatura-vilchez/src/domains/administradores/predictions/AdminPredictionsDashboardTabs.tsx:425; scripts/ai-backtest-gate.mjs:1; ai-service/scripts/generate_sonar_generic_coverage.py:1</t>
        </is>
      </c>
    </row>
    <row r="55">
      <c r="A55" s="3" t="inlineStr">
        <is>
          <t>CU-054</t>
        </is>
      </c>
      <c r="B55" s="3" t="inlineStr">
        <is>
          <t>Mantener calidad estática mediante ESLint, TypeScript, Sonar preflight, cobertura y correcciones de smells críticos antes de desplegar.</t>
        </is>
      </c>
      <c r="C55" s="3" t="inlineStr">
        <is>
          <t>Equipo técnico / Administrador</t>
        </is>
      </c>
      <c r="D55" s="3" t="inlineStr">
        <is>
          <t>RNF-021</t>
        </is>
      </c>
      <c r="E55" s="3" t="inlineStr">
        <is>
          <t>Usuario con rol requerido, datos mínimos disponibles y entorno web/BFF operativo.</t>
        </is>
      </c>
      <c r="F55" s="3" t="inlineStr">
        <is>
          <t>1) Acceder al módulo. 2) Ingresar o consultar datos. 3) Ejecutar la acción. 4) Validar respuesta, persistencia, auditoría o salida esperada. 5) Registrar evidencia.</t>
        </is>
      </c>
      <c r="G55" s="3" t="inlineStr">
        <is>
          <t>Si los datos son inválidos, no autorizados o incompletos, el sistema muestra error controlado y conserva integridad.</t>
        </is>
      </c>
      <c r="H55" s="3" t="inlineStr">
        <is>
          <t>Calidad / Sonar queda operativo, protegido y trazable según BOLT-WEB-054.</t>
        </is>
      </c>
      <c r="I55" s="3" t="inlineStr">
        <is>
          <t>calzatura-vilchez/package.json:12; calzatura-vilchez/scripts/sonar-preflight.mjs:4; sonar-project.properties:1; calzatura-vilchez/scripts/fix-lcov-for-sonar.mjs:1</t>
        </is>
      </c>
    </row>
    <row r="56">
      <c r="A56" s="3" t="inlineStr">
        <is>
          <t>CU-055</t>
        </is>
      </c>
      <c r="B56" s="3" t="inlineStr">
        <is>
          <t>Administrar landings de campaña, carruseles y estanterías promocionales para Cyber Wow, Club Calzado, outlet y nueva temporada.</t>
        </is>
      </c>
      <c r="C56" s="3" t="inlineStr">
        <is>
          <t>Administrador / Servicio IA</t>
        </is>
      </c>
      <c r="D56" s="3" t="inlineStr">
        <is>
          <t>RF-034</t>
        </is>
      </c>
      <c r="E56" s="3" t="inlineStr">
        <is>
          <t>Usuario con rol requerido, datos mínimos disponibles y entorno web/BFF operativo.</t>
        </is>
      </c>
      <c r="F56" s="3" t="inlineStr">
        <is>
          <t>1) Acceder al módulo. 2) Ingresar o consultar datos. 3) Ejecutar la acción. 4) Validar respuesta, persistencia, auditoría o salida esperada. 5) Registrar evidencia.</t>
        </is>
      </c>
      <c r="G56" s="3" t="inlineStr">
        <is>
          <t>Si los datos son inválidos, no autorizados o incompletos, el sistema muestra error controlado y conserva integridad.</t>
        </is>
      </c>
      <c r="H56" s="3" t="inlineStr">
        <is>
          <t>Público / Campañas queda operativo, protegido y trazable según BOLT-WEB-055.</t>
        </is>
      </c>
      <c r="I56" s="3" t="inlineStr">
        <is>
          <t>calzatura-vilchez/src/domains/publico/pages/CyberWowLandingPage.tsx:7; calzatura-vilchez/src/domains/publico/pages/ClubCalzadoLandingPage.tsx:6; calzatura-vilchez/src/domains/productos/components/ProductsPageCampaignSection.tsx:1; calzatura-vilchez/e2e/campaign-landings.spec.ts:4</t>
        </is>
      </c>
    </row>
  </sheetData>
  <autoFilter ref="A1:I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24" customWidth="1" min="4" max="4"/>
    <col width="38" customWidth="1" min="5" max="5"/>
    <col width="58" customWidth="1" min="6" max="6"/>
    <col width="42" customWidth="1" min="7" max="7"/>
    <col width="48" customWidth="1" min="8" max="8"/>
    <col width="14" customWidth="1" min="9" max="9"/>
    <col width="58" customWidth="1" min="10" max="10"/>
    <col width="42" customWidth="1" min="11" max="11"/>
  </cols>
  <sheetData>
    <row r="1">
      <c r="A1" s="1" t="inlineStr">
        <is>
          <t>Caso prueba</t>
        </is>
      </c>
      <c r="B1" s="1" t="inlineStr">
        <is>
          <t>Requisito</t>
        </is>
      </c>
      <c r="C1" s="1" t="inlineStr">
        <is>
          <t>Módulo/Componente</t>
        </is>
      </c>
      <c r="D1" s="1" t="inlineStr">
        <is>
          <t>Tipo prueba</t>
        </is>
      </c>
      <c r="E1" s="1" t="inlineStr">
        <is>
          <t>Datos de entrada</t>
        </is>
      </c>
      <c r="F1" s="1" t="inlineStr">
        <is>
          <t>Pasos de ejecución</t>
        </is>
      </c>
      <c r="G1" s="1" t="inlineStr">
        <is>
          <t>Resultado esperado</t>
        </is>
      </c>
      <c r="H1" s="1" t="inlineStr">
        <is>
          <t>Resultado obtenido</t>
        </is>
      </c>
      <c r="I1" s="1" t="inlineStr">
        <is>
          <t>Estado prueba</t>
        </is>
      </c>
      <c r="J1" s="1" t="inlineStr">
        <is>
          <t>Evidencia</t>
        </is>
      </c>
      <c r="K1" s="1" t="inlineStr">
        <is>
          <t>Observación de cierre</t>
        </is>
      </c>
    </row>
    <row r="2">
      <c r="A2" s="3" t="inlineStr">
        <is>
          <t>CP-001</t>
        </is>
      </c>
      <c r="B2" s="3" t="inlineStr">
        <is>
          <t>RNF-001</t>
        </is>
      </c>
      <c r="C2" s="3" t="inlineStr">
        <is>
          <t>Sistema web / arquitectura general</t>
        </is>
      </c>
      <c r="D2" s="3" t="inlineStr">
        <is>
          <t>Integración / seguridad</t>
        </is>
      </c>
      <c r="E2" s="3" t="inlineStr">
        <is>
          <t>Carrito, dirección, método de pago, stock, precio e idempotency key</t>
        </is>
      </c>
      <c r="F2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2" s="3" t="inlineStr">
        <is>
          <t>Sistema web / arquitectura general queda operativo, protegido y trazable según BOLT-WEB-001.</t>
        </is>
      </c>
      <c r="H2" s="3" t="inlineStr">
        <is>
          <t>Validado con evidencia de código, pruebas automatizadas, matriz BOLT y artifacts del proyecto.</t>
        </is>
      </c>
      <c r="I2" s="5" t="inlineStr">
        <is>
          <t>Ejecutado</t>
        </is>
      </c>
      <c r="J2" s="3" t="inlineStr">
        <is>
          <t>calzatura-vilchez/README.md:1; documentacion/05-especificacion-requisitos-software-SRS.md:1; calzatura-vilchez/src/domains/README.md:1</t>
        </is>
      </c>
      <c r="K2" s="3" t="inlineStr">
        <is>
          <t>Cierre en VERDE; mantener evidencia por versión y repetir en cambios de alto impacto.</t>
        </is>
      </c>
    </row>
    <row r="3">
      <c r="A3" s="3" t="inlineStr">
        <is>
          <t>CP-002</t>
        </is>
      </c>
      <c r="B3" s="3" t="inlineStr">
        <is>
          <t>RF-001</t>
        </is>
      </c>
      <c r="C3" s="3" t="inlineStr">
        <is>
          <t>Público / Home</t>
        </is>
      </c>
      <c r="D3" s="3" t="inlineStr">
        <is>
          <t>Modelo IA / integración</t>
        </is>
      </c>
      <c r="E3" s="3" t="inlineStr">
        <is>
          <t>Datos de producto, talla, color, stock, categoría, precio y código</t>
        </is>
      </c>
      <c r="F3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3" s="3" t="inlineStr">
        <is>
          <t>Público / Home queda operativo, protegido y trazable según BOLT-WEB-002.</t>
        </is>
      </c>
      <c r="H3" s="3" t="inlineStr">
        <is>
          <t>Validado con evidencia de código, pruebas automatizadas, matriz BOLT y artifacts del proyecto.</t>
        </is>
      </c>
      <c r="I3" s="5" t="inlineStr">
        <is>
          <t>Ejecutado</t>
        </is>
      </c>
      <c r="J3" s="3" t="inlineStr">
        <is>
          <t>calzatura-vilchez/src/domains/publico/components/HomeHeroSection.tsx:40; calzatura-vilchez/src/domains/publico/components/HomeHeroSection.tsx:278; calzatura-vilchez/src/domains/publico/pages/HomePage.tsx:322</t>
        </is>
      </c>
      <c r="K3" s="3" t="inlineStr">
        <is>
          <t>Cierre en VERDE; mantener evidencia por versión y repetir en cambios de alto impacto.</t>
        </is>
      </c>
    </row>
    <row r="4">
      <c r="A4" s="3" t="inlineStr">
        <is>
          <t>CP-003</t>
        </is>
      </c>
      <c r="B4" s="3" t="inlineStr">
        <is>
          <t>RF-002</t>
        </is>
      </c>
      <c r="C4" s="3" t="inlineStr">
        <is>
          <t>Catálogo / Productos</t>
        </is>
      </c>
      <c r="D4" s="3" t="inlineStr">
        <is>
          <t>Modelo IA / integración</t>
        </is>
      </c>
      <c r="E4" s="3" t="inlineStr">
        <is>
          <t>Datos de producto, talla, color, stock, categoría, precio y código</t>
        </is>
      </c>
      <c r="F4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4" s="3" t="inlineStr">
        <is>
          <t>Catálogo / Productos queda operativo, protegido y trazable según BOLT-WEB-003.</t>
        </is>
      </c>
      <c r="H4" s="3" t="inlineStr">
        <is>
          <t>Validado con evidencia de código, pruebas automatizadas, matriz BOLT y artifacts del proyecto.</t>
        </is>
      </c>
      <c r="I4" s="5" t="inlineStr">
        <is>
          <t>Ejecutado</t>
        </is>
      </c>
      <c r="J4" s="3" t="inlineStr">
        <is>
          <t>calzatura-vilchez/src/domains/productos/pages/ProductsPage.tsx:1; calzatura-vilchez/src/domains/productos/services/products.ts:1; calzatura-vilchez/e2e/catalog-filter-marca.spec.ts:81</t>
        </is>
      </c>
      <c r="K4" s="3" t="inlineStr">
        <is>
          <t>Cierre en VERDE; mantener evidencia por versión y repetir en cambios de alto impacto.</t>
        </is>
      </c>
    </row>
    <row r="5">
      <c r="A5" s="3" t="inlineStr">
        <is>
          <t>CP-004</t>
        </is>
      </c>
      <c r="B5" s="3" t="inlineStr">
        <is>
          <t>RF-003</t>
        </is>
      </c>
      <c r="C5" s="3" t="inlineStr">
        <is>
          <t>Catálogo / ProductCard</t>
        </is>
      </c>
      <c r="D5" s="3" t="inlineStr">
        <is>
          <t>Modelo IA / integración</t>
        </is>
      </c>
      <c r="E5" s="3" t="inlineStr">
        <is>
          <t>Datos de producto, talla, color, stock, categoría, precio y código</t>
        </is>
      </c>
      <c r="F5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5" s="3" t="inlineStr">
        <is>
          <t>Catálogo / ProductCard queda operativo, protegido y trazable según BOLT-WEB-004.</t>
        </is>
      </c>
      <c r="H5" s="3" t="inlineStr">
        <is>
          <t>Validado con evidencia de código, pruebas automatizadas, matriz BOLT y artifacts del proyecto.</t>
        </is>
      </c>
      <c r="I5" s="5" t="inlineStr">
        <is>
          <t>Ejecutado</t>
        </is>
      </c>
      <c r="J5" s="3" t="inlineStr">
        <is>
          <t>calzatura-vilchez/src/domains/productos/components/ProductCard.tsx:23; calzatura-vilchez/src/domains/productos/components/ProductCard.tsx:101; calzatura-vilchez/src/domains/productos/components/ProductCard.tsx:219; calzatura-vilchez/e2e/catalog-cart.spec.ts:35</t>
        </is>
      </c>
      <c r="K5" s="3" t="inlineStr">
        <is>
          <t>Cierre en VERDE; mantener evidencia por versión y repetir en cambios de alto impacto.</t>
        </is>
      </c>
    </row>
    <row r="6">
      <c r="A6" s="3" t="inlineStr">
        <is>
          <t>CP-005</t>
        </is>
      </c>
      <c r="B6" s="3" t="inlineStr">
        <is>
          <t>RF-004</t>
        </is>
      </c>
      <c r="C6" s="3" t="inlineStr">
        <is>
          <t>Carrito</t>
        </is>
      </c>
      <c r="D6" s="3" t="inlineStr">
        <is>
          <t>Modelo IA / integración</t>
        </is>
      </c>
      <c r="E6" s="3" t="inlineStr">
        <is>
          <t>Ventas, stock, productos, métricas, historial e indicadores agregados</t>
        </is>
      </c>
      <c r="F6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6" s="3" t="inlineStr">
        <is>
          <t>Carrito queda operativo, protegido y trazable según BOLT-WEB-005.</t>
        </is>
      </c>
      <c r="H6" s="3" t="inlineStr">
        <is>
          <t>Validado con evidencia de código, pruebas automatizadas, matriz BOLT y artifacts del proyecto.</t>
        </is>
      </c>
      <c r="I6" s="5" t="inlineStr">
        <is>
          <t>Ejecutado</t>
        </is>
      </c>
      <c r="J6" s="3" t="inlineStr">
        <is>
          <t>calzatura-vilchez/src/domains/carrito/context/CartContext.tsx:37; calzatura-vilchez/src/domains/carrito/context/CartContext.tsx:71; calzatura-vilchez/src/domains/carrito/context/CartContext.tsx:92</t>
        </is>
      </c>
      <c r="K6" s="3" t="inlineStr">
        <is>
          <t>Cierre en VERDE; mantener evidencia por versión y repetir en cambios de alto impacto.</t>
        </is>
      </c>
    </row>
    <row r="7">
      <c r="A7" s="3" t="inlineStr">
        <is>
          <t>CP-006</t>
        </is>
      </c>
      <c r="B7" s="3" t="inlineStr">
        <is>
          <t>RF-005</t>
        </is>
      </c>
      <c r="C7" s="3" t="inlineStr">
        <is>
          <t>Checkout</t>
        </is>
      </c>
      <c r="D7" s="3" t="inlineStr">
        <is>
          <t>Modelo IA / integración</t>
        </is>
      </c>
      <c r="E7" s="3" t="inlineStr">
        <is>
          <t>Carrito, dirección, método de pago, stock, precio e idempotency key</t>
        </is>
      </c>
      <c r="F7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7" s="3" t="inlineStr">
        <is>
          <t>Checkout queda operativo, protegido y trazable según BOLT-WEB-006.</t>
        </is>
      </c>
      <c r="H7" s="3" t="inlineStr">
        <is>
          <t>Validado con evidencia de código, pruebas automatizadas, matriz BOLT y artifacts del proyecto.</t>
        </is>
      </c>
      <c r="I7" s="5" t="inlineStr">
        <is>
          <t>Ejecutado</t>
        </is>
      </c>
      <c r="J7" s="3" t="inlineStr">
        <is>
          <t>calzatura-vilchez/src/domains/carrito/pages/CheckoutPage.tsx:40; calzatura-vilchez/src/domains/carrito/pages/CheckoutPage.tsx:53; calzatura-vilchez/src/domains/carrito/pages/CheckoutPage.tsx:152; calzatura-vilchez/e2e/checkout-cod-order.spec.ts:89</t>
        </is>
      </c>
      <c r="K7" s="3" t="inlineStr">
        <is>
          <t>Cierre en VERDE; mantener evidencia por versión y repetir en cambios de alto impacto.</t>
        </is>
      </c>
    </row>
    <row r="8">
      <c r="A8" s="3" t="inlineStr">
        <is>
          <t>CP-007</t>
        </is>
      </c>
      <c r="B8" s="3" t="inlineStr">
        <is>
          <t>RF-006</t>
        </is>
      </c>
      <c r="C8" s="3" t="inlineStr">
        <is>
          <t>Pedidos cliente</t>
        </is>
      </c>
      <c r="D8" s="3" t="inlineStr">
        <is>
          <t>Caja negra / integración</t>
        </is>
      </c>
      <c r="E8" s="3" t="inlineStr">
        <is>
          <t>Datos funcionales del módulo y sesión autorizada</t>
        </is>
      </c>
      <c r="F8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8" s="3" t="inlineStr">
        <is>
          <t>Pedidos cliente queda operativo, protegido y trazable según BOLT-WEB-007.</t>
        </is>
      </c>
      <c r="H8" s="3" t="inlineStr">
        <is>
          <t>Validado con evidencia de código, pruebas automatizadas, matriz BOLT y artifacts del proyecto.</t>
        </is>
      </c>
      <c r="I8" s="5" t="inlineStr">
        <is>
          <t>Ejecutado</t>
        </is>
      </c>
      <c r="J8" s="3" t="inlineStr">
        <is>
          <t>calzatura-vilchez/src/domains/pedidos/pages/OrderSuccessPage.tsx:21; calzatura-vilchez/src/domains/pedidos/pages/OrderSuccessPage.tsx:52; calzatura-vilchez/src/domains/pedidos/pages/OrderSuccessPage.tsx:129</t>
        </is>
      </c>
      <c r="K8" s="3" t="inlineStr">
        <is>
          <t>Cierre en VERDE; mantener evidencia por versión y repetir en cambios de alto impacto.</t>
        </is>
      </c>
    </row>
    <row r="9">
      <c r="A9" s="3" t="inlineStr">
        <is>
          <t>CP-008</t>
        </is>
      </c>
      <c r="B9" s="3" t="inlineStr">
        <is>
          <t>RNF-002</t>
        </is>
      </c>
      <c r="C9" s="3" t="inlineStr">
        <is>
          <t>Usuarios / DNI / PII</t>
        </is>
      </c>
      <c r="D9" s="3" t="inlineStr">
        <is>
          <t>Integración / seguridad</t>
        </is>
      </c>
      <c r="E9" s="3" t="inlineStr">
        <is>
          <t>Firebase token, DNI, correo, teléfono, rol o datos de perfil</t>
        </is>
      </c>
      <c r="F9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9" s="3" t="inlineStr">
        <is>
          <t>Usuarios / DNI / PII queda operativo, protegido y trazable según BOLT-WEB-008.</t>
        </is>
      </c>
      <c r="H9" s="3" t="inlineStr">
        <is>
          <t>Validado con evidencia de código, pruebas automatizadas, matriz BOLT y artifacts del proyecto.</t>
        </is>
      </c>
      <c r="I9" s="5" t="inlineStr">
        <is>
          <t>Ejecutado</t>
        </is>
      </c>
      <c r="J9" s="3" t="inlineStr">
        <is>
          <t>calzatura-vilchez/src/domains/usuarios/services/dni.ts:1; calzatura-vilchez/bff/lookupDni.cjs:15; calzatura-vilchez/bff/server.cjs:1500</t>
        </is>
      </c>
      <c r="K9" s="3" t="inlineStr">
        <is>
          <t>Cierre en VERDE; mantener evidencia por versión y repetir en cambios de alto impacto.</t>
        </is>
      </c>
    </row>
    <row r="10">
      <c r="A10" s="3" t="inlineStr">
        <is>
          <t>CP-009</t>
        </is>
      </c>
      <c r="B10" s="3" t="inlineStr">
        <is>
          <t>RF-007</t>
        </is>
      </c>
      <c r="C10" s="3" t="inlineStr">
        <is>
          <t>Admin usuarios</t>
        </is>
      </c>
      <c r="D10" s="3" t="inlineStr">
        <is>
          <t>Caja negra / integración</t>
        </is>
      </c>
      <c r="E10" s="3" t="inlineStr">
        <is>
          <t>Firebase token, DNI, correo, teléfono, rol o datos de perfil</t>
        </is>
      </c>
      <c r="F10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10" s="3" t="inlineStr">
        <is>
          <t>Admin usuarios queda operativo, protegido y trazable según BOLT-WEB-009.</t>
        </is>
      </c>
      <c r="H10" s="3" t="inlineStr">
        <is>
          <t>Validado con evidencia de código, pruebas automatizadas, matriz BOLT y artifacts del proyecto.</t>
        </is>
      </c>
      <c r="I10" s="5" t="inlineStr">
        <is>
          <t>Ejecutado</t>
        </is>
      </c>
      <c r="J10" s="3" t="inlineStr">
        <is>
          <t>calzatura-vilchez/src/domains/usuarios/pages/AdminUsers.tsx:16; calzatura-vilchez/src/domains/usuarios/pages/AdminUsers.tsx:102; calzatura-vilchez/src/domains/usuarios/pages/AdminUsers.tsx:321</t>
        </is>
      </c>
      <c r="K10" s="3" t="inlineStr">
        <is>
          <t>Cierre en VERDE; mantener evidencia por versión y repetir en cambios de alto impacto.</t>
        </is>
      </c>
    </row>
    <row r="11">
      <c r="A11" s="3" t="inlineStr">
        <is>
          <t>CP-010</t>
        </is>
      </c>
      <c r="B11" s="3" t="inlineStr">
        <is>
          <t>RF-008</t>
        </is>
      </c>
      <c r="C11" s="3" t="inlineStr">
        <is>
          <t>Admin productos</t>
        </is>
      </c>
      <c r="D11" s="3" t="inlineStr">
        <is>
          <t>Modelo IA / integración</t>
        </is>
      </c>
      <c r="E11" s="3" t="inlineStr">
        <is>
          <t>Datos de producto, talla, color, stock, categoría, precio y código</t>
        </is>
      </c>
      <c r="F11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11" s="3" t="inlineStr">
        <is>
          <t>Admin productos queda operativo, protegido y trazable según BOLT-WEB-010.</t>
        </is>
      </c>
      <c r="H11" s="3" t="inlineStr">
        <is>
          <t>Validado con evidencia de código, pruebas automatizadas, matriz BOLT y artifacts del proyecto.</t>
        </is>
      </c>
      <c r="I11" s="5" t="inlineStr">
        <is>
          <t>Ejecutado</t>
        </is>
      </c>
      <c r="J11" s="3" t="inlineStr">
        <is>
          <t>calzatura-vilchez/src/domains/productos/pages/useAdminProductsPage.tsx:1; calzatura-vilchez/bff/server.cjs:3313; calzatura-vilchez/bff/server.cjs:3387</t>
        </is>
      </c>
      <c r="K11" s="3" t="inlineStr">
        <is>
          <t>Cierre en VERDE; mantener evidencia por versión y repetir en cambios de alto impacto.</t>
        </is>
      </c>
    </row>
    <row r="12">
      <c r="A12" s="3" t="inlineStr">
        <is>
          <t>CP-011</t>
        </is>
      </c>
      <c r="B12" s="3" t="inlineStr">
        <is>
          <t>RF-009</t>
        </is>
      </c>
      <c r="C12" s="3" t="inlineStr">
        <is>
          <t>Admin productos / Stock</t>
        </is>
      </c>
      <c r="D12" s="3" t="inlineStr">
        <is>
          <t>Modelo IA / integración</t>
        </is>
      </c>
      <c r="E12" s="3" t="inlineStr">
        <is>
          <t>Datos de producto, talla, color, stock, categoría, precio y código</t>
        </is>
      </c>
      <c r="F12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12" s="3" t="inlineStr">
        <is>
          <t>Admin productos / Stock queda operativo, protegido y trazable según BOLT-WEB-011.</t>
        </is>
      </c>
      <c r="H12" s="3" t="inlineStr">
        <is>
          <t>Validado con evidencia de código, pruebas automatizadas, matriz BOLT y artifacts del proyecto.</t>
        </is>
      </c>
      <c r="I12" s="5" t="inlineStr">
        <is>
          <t>Ejecutado</t>
        </is>
      </c>
      <c r="J12" s="3" t="inlineStr">
        <is>
          <t>calzatura-vilchez/bff/server.cjs:2456; calzatura-vilchez/bff/server.cjs:2494; calzatura-vilchez/bff/server.cjs:2518</t>
        </is>
      </c>
      <c r="K12" s="3" t="inlineStr">
        <is>
          <t>Cierre en VERDE; mantener evidencia por versión y repetir en cambios de alto impacto.</t>
        </is>
      </c>
    </row>
    <row r="13">
      <c r="A13" s="3" t="inlineStr">
        <is>
          <t>CP-012</t>
        </is>
      </c>
      <c r="B13" s="3" t="inlineStr">
        <is>
          <t>RF-010</t>
        </is>
      </c>
      <c r="C13" s="3" t="inlineStr">
        <is>
          <t>Admin pedidos</t>
        </is>
      </c>
      <c r="D13" s="3" t="inlineStr">
        <is>
          <t>Modelo IA / integración</t>
        </is>
      </c>
      <c r="E13" s="3" t="inlineStr">
        <is>
          <t>Datos funcionales del módulo y sesión autorizada</t>
        </is>
      </c>
      <c r="F13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13" s="3" t="inlineStr">
        <is>
          <t>Admin pedidos queda operativo, protegido y trazable según BOLT-WEB-012.</t>
        </is>
      </c>
      <c r="H13" s="3" t="inlineStr">
        <is>
          <t>Validado con evidencia de código, pruebas automatizadas, matriz BOLT y artifacts del proyecto.</t>
        </is>
      </c>
      <c r="I13" s="5" t="inlineStr">
        <is>
          <t>Ejecutado</t>
        </is>
      </c>
      <c r="J13" s="3" t="inlineStr">
        <is>
          <t>calzatura-vilchez/src/domains/pedidos/pages/AdminOrders.tsx:84; calzatura-vilchez/functions/orderStatusPolicy.js:16; calzatura-vilchez/bff/server.cjs:1815</t>
        </is>
      </c>
      <c r="K13" s="3" t="inlineStr">
        <is>
          <t>Cierre en VERDE; mantener evidencia por versión y repetir en cambios de alto impacto.</t>
        </is>
      </c>
    </row>
    <row r="14">
      <c r="A14" s="3" t="inlineStr">
        <is>
          <t>CP-013</t>
        </is>
      </c>
      <c r="B14" s="3" t="inlineStr">
        <is>
          <t>RF-011</t>
        </is>
      </c>
      <c r="C14" s="3" t="inlineStr">
        <is>
          <t>Admin fabricantes</t>
        </is>
      </c>
      <c r="D14" s="3" t="inlineStr">
        <is>
          <t>Modelo IA / integración</t>
        </is>
      </c>
      <c r="E14" s="3" t="inlineStr">
        <is>
          <t>Ventas, stock, productos, métricas, historial e indicadores agregados</t>
        </is>
      </c>
      <c r="F14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14" s="3" t="inlineStr">
        <is>
          <t>Admin fabricantes queda operativo, protegido y trazable según BOLT-WEB-013.</t>
        </is>
      </c>
      <c r="H14" s="3" t="inlineStr">
        <is>
          <t>Validado con evidencia de código, pruebas automatizadas, matriz BOLT y artifacts del proyecto.</t>
        </is>
      </c>
      <c r="I14" s="5" t="inlineStr">
        <is>
          <t>Ejecutado</t>
        </is>
      </c>
      <c r="J14" s="3" t="inlineStr">
        <is>
          <t>calzatura-vilchez/src/domains/fabricantes/pages/AdminManufacturers.tsx:74; calzatura-vilchez/src/domains/fabricantes/pages/AdminManufacturers.tsx:350; calzatura-vilchez/src/domains/fabricantes/pages/AdminManufacturers.tsx:717</t>
        </is>
      </c>
      <c r="K14" s="3" t="inlineStr">
        <is>
          <t>Cierre en VERDE; mantener evidencia por versión y repetir en cambios de alto impacto.</t>
        </is>
      </c>
    </row>
    <row r="15">
      <c r="A15" s="3" t="inlineStr">
        <is>
          <t>CP-014</t>
        </is>
      </c>
      <c r="B15" s="3" t="inlineStr">
        <is>
          <t>RF-012</t>
        </is>
      </c>
      <c r="C15" s="3" t="inlineStr">
        <is>
          <t>Admin ventas</t>
        </is>
      </c>
      <c r="D15" s="3" t="inlineStr">
        <is>
          <t>Caja blanca / integración</t>
        </is>
      </c>
      <c r="E15" s="3" t="inlineStr">
        <is>
          <t>Datos de producto, talla, color, stock, categoría, precio y código</t>
        </is>
      </c>
      <c r="F15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15" s="3" t="inlineStr">
        <is>
          <t>Admin ventas queda operativo, protegido y trazable según BOLT-WEB-014.</t>
        </is>
      </c>
      <c r="H15" s="3" t="inlineStr">
        <is>
          <t>Validado con evidencia de código, pruebas automatizadas, matriz BOLT y artifacts del proyecto.</t>
        </is>
      </c>
      <c r="I15" s="5" t="inlineStr">
        <is>
          <t>Ejecutado</t>
        </is>
      </c>
      <c r="J15" s="3" t="inlineStr">
        <is>
          <t>calzatura-vilchez/src/domains/ventas/pages/useSalesPage.ts:295; calzatura-vilchez/src/domains/ventas/pages/adminSalesRegisterLogic.ts:272; calzatura-vilchez/e2e/admin-sales.spec.ts:143</t>
        </is>
      </c>
      <c r="K15" s="3" t="inlineStr">
        <is>
          <t>Cierre en VERDE; mantener evidencia por versión y repetir en cambios de alto impacto.</t>
        </is>
      </c>
    </row>
    <row r="16">
      <c r="A16" s="3" t="inlineStr">
        <is>
          <t>CP-015</t>
        </is>
      </c>
      <c r="B16" s="3" t="inlineStr">
        <is>
          <t>RF-013</t>
        </is>
      </c>
      <c r="C16" s="3" t="inlineStr">
        <is>
          <t>Admin ventas / Devoluciones</t>
        </is>
      </c>
      <c r="D16" s="3" t="inlineStr">
        <is>
          <t>Caja negra / integración</t>
        </is>
      </c>
      <c r="E16" s="3" t="inlineStr">
        <is>
          <t>Producto, talla, cantidad, precio, documento y motivo si es devolución</t>
        </is>
      </c>
      <c r="F16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16" s="3" t="inlineStr">
        <is>
          <t>Admin ventas / Devoluciones queda operativo, protegido y trazable según BOLT-WEB-015.</t>
        </is>
      </c>
      <c r="H16" s="3" t="inlineStr">
        <is>
          <t>Validado con evidencia de código, pruebas automatizadas, matriz BOLT y artifacts del proyecto.</t>
        </is>
      </c>
      <c r="I16" s="5" t="inlineStr">
        <is>
          <t>Ejecutado</t>
        </is>
      </c>
      <c r="J16" s="3" t="inlineStr">
        <is>
          <t>calzatura-vilchez/src/domains/ventas/pages/AdminSaleDetailModal.tsx:53; calzatura-vilchez/src/domains/ventas/pages/AdminSaleDetailModal.tsx:143; calzatura-vilchez/e2e/admin-sales.spec.ts:229</t>
        </is>
      </c>
      <c r="K16" s="3" t="inlineStr">
        <is>
          <t>Cierre en VERDE; mantener evidencia por versión y repetir en cambios de alto impacto.</t>
        </is>
      </c>
    </row>
    <row r="17">
      <c r="A17" s="3" t="inlineStr">
        <is>
          <t>CP-016</t>
        </is>
      </c>
      <c r="B17" s="3" t="inlineStr">
        <is>
          <t>RF-014</t>
        </is>
      </c>
      <c r="C17" s="3" t="inlineStr">
        <is>
          <t>Admin datos Excel</t>
        </is>
      </c>
      <c r="D17" s="3" t="inlineStr">
        <is>
          <t>Modelo IA / integración</t>
        </is>
      </c>
      <c r="E17" s="3" t="inlineStr">
        <is>
          <t>Datos de producto, talla, color, stock, categoría, precio y código</t>
        </is>
      </c>
      <c r="F17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17" s="3" t="inlineStr">
        <is>
          <t>Admin datos Excel queda operativo, protegido y trazable según BOLT-WEB-016.</t>
        </is>
      </c>
      <c r="H17" s="3" t="inlineStr">
        <is>
          <t>Validado con evidencia de código, pruebas automatizadas, matriz BOLT y artifacts del proyecto.</t>
        </is>
      </c>
      <c r="I17" s="5" t="inlineStr">
        <is>
          <t>Ejecutado</t>
        </is>
      </c>
      <c r="J17" s="3" t="inlineStr">
        <is>
          <t>calzatura-vilchez/src/domains/administradores/pages/AdminData.tsx:975; calzatura-vilchez/src/domains/administradores/pages/AdminData.tsx:1060; calzatura-vilchez/src/domains/administradores/utils/importRules.ts:189</t>
        </is>
      </c>
      <c r="K17" s="3" t="inlineStr">
        <is>
          <t>Cierre en VERDE; mantener evidencia por versión y repetir en cambios de alto impacto.</t>
        </is>
      </c>
    </row>
    <row r="18">
      <c r="A18" s="3" t="inlineStr">
        <is>
          <t>CP-017</t>
        </is>
      </c>
      <c r="B18" s="3" t="inlineStr">
        <is>
          <t>RNF-003</t>
        </is>
      </c>
      <c r="C18" s="3" t="inlineStr">
        <is>
          <t>Admin datos Excel / Seguridad</t>
        </is>
      </c>
      <c r="D18" s="3" t="inlineStr">
        <is>
          <t>Integración / seguridad</t>
        </is>
      </c>
      <c r="E18" s="3" t="inlineStr">
        <is>
          <t>Archivo .xlsx, colección, lote, escenario y filas validadas</t>
        </is>
      </c>
      <c r="F18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18" s="3" t="inlineStr">
        <is>
          <t>Admin datos Excel / Seguridad queda operativo, protegido y trazable según BOLT-WEB-017.</t>
        </is>
      </c>
      <c r="H18" s="3" t="inlineStr">
        <is>
          <t>Validado con evidencia de código, pruebas automatizadas, matriz BOLT y artifacts del proyecto.</t>
        </is>
      </c>
      <c r="I18" s="5" t="inlineStr">
        <is>
          <t>Ejecutado</t>
        </is>
      </c>
      <c r="J18" s="3" t="inlineStr">
        <is>
          <t>calzatura-vilchez/src/domains/administradores/utils/spreadsheet.ts:52; calzatura-vilchez/src/domains/administradores/utils/spreadsheet.ts:67; calzatura-vilchez/src/__tests__/spreadsheet.test.ts:1</t>
        </is>
      </c>
      <c r="K18" s="3" t="inlineStr">
        <is>
          <t>Cierre en VERDE; mantener evidencia por versión y repetir en cambios de alto impacto.</t>
        </is>
      </c>
    </row>
    <row r="19">
      <c r="A19" s="3" t="inlineStr">
        <is>
          <t>CP-018</t>
        </is>
      </c>
      <c r="B19" s="3" t="inlineStr">
        <is>
          <t>RNF-004</t>
        </is>
      </c>
      <c r="C19" s="3" t="inlineStr">
        <is>
          <t>Auditoría</t>
        </is>
      </c>
      <c r="D19" s="3" t="inlineStr">
        <is>
          <t>Integración / seguridad</t>
        </is>
      </c>
      <c r="E19" s="3" t="inlineStr">
        <is>
          <t>Ventas, stock, productos, métricas, historial e indicadores agregados</t>
        </is>
      </c>
      <c r="F19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19" s="3" t="inlineStr">
        <is>
          <t>Auditoría queda operativo, protegido y trazable según BOLT-WEB-018.</t>
        </is>
      </c>
      <c r="H19" s="3" t="inlineStr">
        <is>
          <t>Validado con evidencia de código, pruebas automatizadas, matriz BOLT y artifacts del proyecto.</t>
        </is>
      </c>
      <c r="I19" s="5" t="inlineStr">
        <is>
          <t>Ejecutado</t>
        </is>
      </c>
      <c r="J19" s="3" t="inlineStr">
        <is>
          <t>calzatura-vilchez/bff/server.cjs:636; calzatura-vilchez/bff/server.cjs:683; calzatura-vilchez/bff/server.cjs:3630; calzatura-vilchez/bff/auditPii.cjs:1</t>
        </is>
      </c>
      <c r="K19" s="3" t="inlineStr">
        <is>
          <t>Cierre en VERDE; mantener evidencia por versión y repetir en cambios de alto impacto.</t>
        </is>
      </c>
    </row>
    <row r="20">
      <c r="A20" s="3" t="inlineStr">
        <is>
          <t>CP-019</t>
        </is>
      </c>
      <c r="B20" s="3" t="inlineStr">
        <is>
          <t>RNF-005</t>
        </is>
      </c>
      <c r="C20" s="3" t="inlineStr">
        <is>
          <t>Pagos / Stripe</t>
        </is>
      </c>
      <c r="D20" s="3" t="inlineStr">
        <is>
          <t>Integración / seguridad</t>
        </is>
      </c>
      <c r="E20" s="3" t="inlineStr">
        <is>
          <t>Ventas, stock, productos, métricas, historial e indicadores agregados</t>
        </is>
      </c>
      <c r="F20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20" s="3" t="inlineStr">
        <is>
          <t>Pagos / Stripe queda operativo, protegido y trazable según BOLT-WEB-019.</t>
        </is>
      </c>
      <c r="H20" s="3" t="inlineStr">
        <is>
          <t>Validado con evidencia de código, pruebas automatizadas, matriz BOLT y artifacts del proyecto.</t>
        </is>
      </c>
      <c r="I20" s="5" t="inlineStr">
        <is>
          <t>Ejecutado</t>
        </is>
      </c>
      <c r="J20" s="3" t="inlineStr">
        <is>
          <t>calzatura-vilchez/bff/server.cjs:1815; calzatura-vilchez/bff/server.cjs:2543; calzatura-vilchez/bff/server.cjs:2718; calzatura-vilchez/bff/server.cjs:2726</t>
        </is>
      </c>
      <c r="K20" s="3" t="inlineStr">
        <is>
          <t>Cierre en VERDE; mantener evidencia por versión y repetir en cambios de alto impacto.</t>
        </is>
      </c>
    </row>
    <row r="21">
      <c r="A21" s="3" t="inlineStr">
        <is>
          <t>CP-020</t>
        </is>
      </c>
      <c r="B21" s="3" t="inlineStr">
        <is>
          <t>RNF-006</t>
        </is>
      </c>
      <c r="C21" s="3" t="inlineStr">
        <is>
          <t>BFF / Seguridad</t>
        </is>
      </c>
      <c r="D21" s="3" t="inlineStr">
        <is>
          <t>Integración / seguridad</t>
        </is>
      </c>
      <c r="E21" s="3" t="inlineStr">
        <is>
          <t>Datos funcionales del módulo y sesión autorizada</t>
        </is>
      </c>
      <c r="F21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21" s="3" t="inlineStr">
        <is>
          <t>BFF / Seguridad queda operativo, protegido y trazable según BOLT-WEB-020.</t>
        </is>
      </c>
      <c r="H21" s="3" t="inlineStr">
        <is>
          <t>Validado con evidencia de código, pruebas automatizadas, matriz BOLT y artifacts del proyecto.</t>
        </is>
      </c>
      <c r="I21" s="5" t="inlineStr">
        <is>
          <t>Ejecutado</t>
        </is>
      </c>
      <c r="J21" s="3" t="inlineStr">
        <is>
          <t>calzatura-vilchez/bff/publicRateLimit.cjs:7; calzatura-vilchez/bff/publicRateLimit.cjs:76; calzatura-vilchez/bff/securityMonitor.cjs:1</t>
        </is>
      </c>
      <c r="K21" s="3" t="inlineStr">
        <is>
          <t>Cierre en VERDE; mantener evidencia por versión y repetir en cambios de alto impacto.</t>
        </is>
      </c>
    </row>
    <row r="22">
      <c r="A22" s="3" t="inlineStr">
        <is>
          <t>CP-021</t>
        </is>
      </c>
      <c r="B22" s="3" t="inlineStr">
        <is>
          <t>RNF-007</t>
        </is>
      </c>
      <c r="C22" s="3" t="inlineStr">
        <is>
          <t>Seguridad DAST</t>
        </is>
      </c>
      <c r="D22" s="3" t="inlineStr">
        <is>
          <t>Integración / seguridad</t>
        </is>
      </c>
      <c r="E22" s="3" t="inlineStr">
        <is>
          <t>URL objetivo, escenario de carga y reporte automatizado</t>
        </is>
      </c>
      <c r="F22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22" s="3" t="inlineStr">
        <is>
          <t>Seguridad DAST queda operativo, protegido y trazable según BOLT-WEB-021.</t>
        </is>
      </c>
      <c r="H22" s="3" t="inlineStr">
        <is>
          <t>Validado con evidencia de código, pruebas automatizadas, matriz BOLT y artifacts del proyecto.</t>
        </is>
      </c>
      <c r="I22" s="5" t="inlineStr">
        <is>
          <t>Ejecutado</t>
        </is>
      </c>
      <c r="J22" s="3" t="inlineStr">
        <is>
          <t>zap-reports/zap.yaml:24; zap-reports/zap-production-report-v2.json:2; zap-reports/zap-baseline-report.html:219</t>
        </is>
      </c>
      <c r="K22" s="3" t="inlineStr">
        <is>
          <t>Cierre en VERDE; mantener evidencia por versión y repetir en cambios de alto impacto.</t>
        </is>
      </c>
    </row>
    <row r="23">
      <c r="A23" s="3" t="inlineStr">
        <is>
          <t>CP-022</t>
        </is>
      </c>
      <c r="B23" s="3" t="inlineStr">
        <is>
          <t>RNF-008</t>
        </is>
      </c>
      <c r="C23" s="3" t="inlineStr">
        <is>
          <t>Supabase / RLS / RPC</t>
        </is>
      </c>
      <c r="D23" s="3" t="inlineStr">
        <is>
          <t>Integración / seguridad</t>
        </is>
      </c>
      <c r="E23" s="3" t="inlineStr">
        <is>
          <t>Ventas, stock, productos, métricas, historial e indicadores agregados</t>
        </is>
      </c>
      <c r="F23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23" s="3" t="inlineStr">
        <is>
          <t>Supabase / RLS / RPC queda operativo, protegido y trazable según BOLT-WEB-022.</t>
        </is>
      </c>
      <c r="H23" s="3" t="inlineStr">
        <is>
          <t>Validado con evidencia de código, pruebas automatizadas, matriz BOLT y artifacts del proyecto.</t>
        </is>
      </c>
      <c r="I23" s="5" t="inlineStr">
        <is>
          <t>Ejecutado</t>
        </is>
      </c>
      <c r="J23" s="3" t="inlineStr">
        <is>
          <t>calzatura-vilchez/supabase/migrations/20260519150000_harden_admin_rpcs_bff_only.sql:1; calzatura-vilchez/supabase/migrations/20260520120000_harden_auditoria_service_role.sql:1; calzatura-vilchez/src/__tests__/supabaseDirectAccessGuard.test.js:1</t>
        </is>
      </c>
      <c r="K23" s="3" t="inlineStr">
        <is>
          <t>Cierre en VERDE; mantener evidencia por versión y repetir en cambios de alto impacto.</t>
        </is>
      </c>
    </row>
    <row r="24">
      <c r="A24" s="3" t="inlineStr">
        <is>
          <t>CP-023</t>
        </is>
      </c>
      <c r="B24" s="3" t="inlineStr">
        <is>
          <t>RNF-009</t>
        </is>
      </c>
      <c r="C24" s="3" t="inlineStr">
        <is>
          <t>Supabase / PII</t>
        </is>
      </c>
      <c r="D24" s="3" t="inlineStr">
        <is>
          <t>Integración / seguridad</t>
        </is>
      </c>
      <c r="E24" s="3" t="inlineStr">
        <is>
          <t>Firebase token, DNI, correo, teléfono, rol o datos de perfil</t>
        </is>
      </c>
      <c r="F24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24" s="3" t="inlineStr">
        <is>
          <t>Supabase / PII queda operativo, protegido y trazable según BOLT-WEB-023.</t>
        </is>
      </c>
      <c r="H24" s="3" t="inlineStr">
        <is>
          <t>Validado con evidencia de código, pruebas automatizadas, matriz BOLT y artifacts del proyecto.</t>
        </is>
      </c>
      <c r="I24" s="5" t="inlineStr">
        <is>
          <t>Ejecutado</t>
        </is>
      </c>
      <c r="J24" s="3" t="inlineStr">
        <is>
          <t>calzatura-vilchez/supabase/migrations/20260504230000_pgcrypto_dni_protection.sql:1; calzatura-vilchez/src/utils/maskEmail.ts:1; calzatura-vilchez/src/domains/usuarios/pages/AdminUsers.tsx:321</t>
        </is>
      </c>
      <c r="K24" s="3" t="inlineStr">
        <is>
          <t>Cierre en VERDE; mantener evidencia por versión y repetir en cambios de alto impacto.</t>
        </is>
      </c>
    </row>
    <row r="25">
      <c r="A25" s="3" t="inlineStr">
        <is>
          <t>CP-024</t>
        </is>
      </c>
      <c r="B25" s="3" t="inlineStr">
        <is>
          <t>RF-015</t>
        </is>
      </c>
      <c r="C25" s="3" t="inlineStr">
        <is>
          <t>IA / Predicciones</t>
        </is>
      </c>
      <c r="D25" s="3" t="inlineStr">
        <is>
          <t>Modelo IA / integración</t>
        </is>
      </c>
      <c r="E25" s="3" t="inlineStr">
        <is>
          <t>Ventas, stock, productos, métricas, historial e indicadores agregados</t>
        </is>
      </c>
      <c r="F25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25" s="3" t="inlineStr">
        <is>
          <t>IA / Predicciones queda operativo, protegido y trazable según BOLT-WEB-024.</t>
        </is>
      </c>
      <c r="H25" s="3" t="inlineStr">
        <is>
          <t>Validado con evidencia de código, pruebas automatizadas, matriz BOLT y artifacts del proyecto.</t>
        </is>
      </c>
      <c r="I25" s="5" t="inlineStr">
        <is>
          <t>Ejecutado</t>
        </is>
      </c>
      <c r="J25" s="3" t="inlineStr">
        <is>
          <t>calzatura-vilchez/src/domains/administradores/pages/AdminPredictions.tsx:1; calzatura-vilchez/src/domains/administradores/predictions/AdminPredictionsDashboardTabs.tsx:425; scripts/ai-backtest-gate.mjs:1</t>
        </is>
      </c>
      <c r="K25" s="3" t="inlineStr">
        <is>
          <t>Cierre en VERDE; mantener evidencia por versión y repetir en cambios de alto impacto.</t>
        </is>
      </c>
    </row>
    <row r="26">
      <c r="A26" s="3" t="inlineStr">
        <is>
          <t>CP-025</t>
        </is>
      </c>
      <c r="B26" s="3" t="inlineStr">
        <is>
          <t>RNF-010</t>
        </is>
      </c>
      <c r="C26" s="3" t="inlineStr">
        <is>
          <t>DevOps / CI/CD</t>
        </is>
      </c>
      <c r="D26" s="3" t="inlineStr">
        <is>
          <t>Modelo IA / integración</t>
        </is>
      </c>
      <c r="E26" s="3" t="inlineStr">
        <is>
          <t>Ventas, stock, productos, métricas, historial e indicadores agregados</t>
        </is>
      </c>
      <c r="F26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26" s="3" t="inlineStr">
        <is>
          <t>DevOps / CI/CD queda operativo, protegido y trazable según BOLT-WEB-025.</t>
        </is>
      </c>
      <c r="H26" s="3" t="inlineStr">
        <is>
          <t>Validado con evidencia de código, pruebas automatizadas, matriz BOLT y artifacts del proyecto.</t>
        </is>
      </c>
      <c r="I26" s="5" t="inlineStr">
        <is>
          <t>Ejecutado</t>
        </is>
      </c>
      <c r="J26" s="3" t="inlineStr">
        <is>
          <t>.github/workflows/ci.yml:1; .github/workflows/ci-integration.yml:1; .github/workflows/deploy-production.yml:1</t>
        </is>
      </c>
      <c r="K26" s="3" t="inlineStr">
        <is>
          <t>Cierre en VERDE; mantener evidencia por versión y repetir en cambios de alto impacto.</t>
        </is>
      </c>
    </row>
    <row r="27">
      <c r="A27" s="3" t="inlineStr">
        <is>
          <t>CP-026</t>
        </is>
      </c>
      <c r="B27" s="3" t="inlineStr">
        <is>
          <t>RNF-011</t>
        </is>
      </c>
      <c r="C27" s="3" t="inlineStr">
        <is>
          <t>Rendimiento / Stress</t>
        </is>
      </c>
      <c r="D27" s="3" t="inlineStr">
        <is>
          <t>Modelo IA / integración</t>
        </is>
      </c>
      <c r="E27" s="3" t="inlineStr">
        <is>
          <t>Ventas, stock, productos, métricas, historial e indicadores agregados</t>
        </is>
      </c>
      <c r="F27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27" s="3" t="inlineStr">
        <is>
          <t>Rendimiento / Stress queda operativo, protegido y trazable según BOLT-WEB-026.</t>
        </is>
      </c>
      <c r="H27" s="3" t="inlineStr">
        <is>
          <t>Validado con evidencia de código, pruebas automatizadas, matriz BOLT y artifacts del proyecto.</t>
        </is>
      </c>
      <c r="I27" s="5" t="inlineStr">
        <is>
          <t>Ejecutado</t>
        </is>
      </c>
      <c r="J27" s="3" t="inlineStr">
        <is>
          <t>artifacts/load-tests/autocannon-home-c2000-20260528-231905.json:1; load-tests/scenarios/read-mixed-2000.js:31; artifacts/load-tests/summary-500.json:1; artifacts/load-tests/summary-1000.json:1</t>
        </is>
      </c>
      <c r="K27" s="3" t="inlineStr">
        <is>
          <t>Cierre en VERDE; mantener evidencia por versión y repetir en cambios de alto impacto.</t>
        </is>
      </c>
    </row>
    <row r="28">
      <c r="A28" s="3" t="inlineStr">
        <is>
          <t>CP-027</t>
        </is>
      </c>
      <c r="B28" s="3" t="inlineStr">
        <is>
          <t>RNF-012</t>
        </is>
      </c>
      <c r="C28" s="3" t="inlineStr">
        <is>
          <t>Continuidad</t>
        </is>
      </c>
      <c r="D28" s="3" t="inlineStr">
        <is>
          <t>Modelo IA / integración</t>
        </is>
      </c>
      <c r="E28" s="3" t="inlineStr">
        <is>
          <t>Ventas, stock, productos, métricas, historial e indicadores agregados</t>
        </is>
      </c>
      <c r="F28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28" s="3" t="inlineStr">
        <is>
          <t>Continuidad queda operativo, protegido y trazable según BOLT-WEB-027.</t>
        </is>
      </c>
      <c r="H28" s="3" t="inlineStr">
        <is>
          <t>Validado con evidencia de código, pruebas automatizadas, matriz BOLT y artifacts del proyecto.</t>
        </is>
      </c>
      <c r="I28" s="5" t="inlineStr">
        <is>
          <t>Ejecutado</t>
        </is>
      </c>
      <c r="J28" s="3" t="inlineStr">
        <is>
          <t>.github/workflows/ops-controls.yml:1; artifacts/restore-drill/local-test.json:1; docs/ops/readiness.sample.json:1</t>
        </is>
      </c>
      <c r="K28" s="3" t="inlineStr">
        <is>
          <t>Cierre en VERDE; mantener evidencia por versión y repetir en cambios de alto impacto.</t>
        </is>
      </c>
    </row>
    <row r="29">
      <c r="A29" s="3" t="inlineStr">
        <is>
          <t>CP-028</t>
        </is>
      </c>
      <c r="B29" s="3" t="inlineStr">
        <is>
          <t>RF-016</t>
        </is>
      </c>
      <c r="C29" s="3" t="inlineStr">
        <is>
          <t>Campañas</t>
        </is>
      </c>
      <c r="D29" s="3" t="inlineStr">
        <is>
          <t>Modelo IA / integración</t>
        </is>
      </c>
      <c r="E29" s="3" t="inlineStr">
        <is>
          <t>Ventas, stock, productos, métricas, historial e indicadores agregados</t>
        </is>
      </c>
      <c r="F29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29" s="3" t="inlineStr">
        <is>
          <t>Campañas queda operativo, protegido y trazable según BOLT-WEB-028.</t>
        </is>
      </c>
      <c r="H29" s="3" t="inlineStr">
        <is>
          <t>Validado con evidencia de código, pruebas automatizadas, matriz BOLT y artifacts del proyecto.</t>
        </is>
      </c>
      <c r="I29" s="5" t="inlineStr">
        <is>
          <t>Ejecutado</t>
        </is>
      </c>
      <c r="J29" s="3" t="inlineStr">
        <is>
          <t>calzatura-vilchez/src/domains/productos/components/ProductsPageCampaignSection.tsx:1; calzatura-vilchez/e2e/campaign-landings.spec.ts:1; calzatura-vilchez/e2e/admin-campana.spec.ts:84</t>
        </is>
      </c>
      <c r="K29" s="3" t="inlineStr">
        <is>
          <t>Cierre en VERDE; mantener evidencia por versión y repetir en cambios de alto impacto.</t>
        </is>
      </c>
    </row>
    <row r="30">
      <c r="A30" s="3" t="inlineStr">
        <is>
          <t>CP-029</t>
        </is>
      </c>
      <c r="B30" s="3" t="inlineStr">
        <is>
          <t>RF-017</t>
        </is>
      </c>
      <c r="C30" s="3" t="inlineStr">
        <is>
          <t>Libro de reclamaciones</t>
        </is>
      </c>
      <c r="D30" s="3" t="inlineStr">
        <is>
          <t>Modelo IA / integración</t>
        </is>
      </c>
      <c r="E30" s="3" t="inlineStr">
        <is>
          <t>Ventas, stock, productos, métricas, historial e indicadores agregados</t>
        </is>
      </c>
      <c r="F30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30" s="3" t="inlineStr">
        <is>
          <t>Libro de reclamaciones queda operativo, protegido y trazable según BOLT-WEB-029.</t>
        </is>
      </c>
      <c r="H30" s="3" t="inlineStr">
        <is>
          <t>Validado con evidencia de código, pruebas automatizadas, matriz BOLT y artifacts del proyecto.</t>
        </is>
      </c>
      <c r="I30" s="5" t="inlineStr">
        <is>
          <t>Ejecutado</t>
        </is>
      </c>
      <c r="J30" s="3" t="inlineStr">
        <is>
          <t>calzatura-vilchez/src/domains/publico/components/ComplaintBookForm.tsx:1; calzatura-vilchez/bff/libroReclamaciones.cjs:1; calzatura-vilchez/src/__tests__/adminComplaints.test.ts:1</t>
        </is>
      </c>
      <c r="K30" s="3" t="inlineStr">
        <is>
          <t>Cierre en VERDE; mantener evidencia por versión y repetir en cambios de alto impacto.</t>
        </is>
      </c>
    </row>
    <row r="31">
      <c r="A31" s="3" t="inlineStr">
        <is>
          <t>CP-030</t>
        </is>
      </c>
      <c r="B31" s="3" t="inlineStr">
        <is>
          <t>RF-018</t>
        </is>
      </c>
      <c r="C31" s="3" t="inlineStr">
        <is>
          <t>Privacidad / Cookies</t>
        </is>
      </c>
      <c r="D31" s="3" t="inlineStr">
        <is>
          <t>Modelo IA / integración</t>
        </is>
      </c>
      <c r="E31" s="3" t="inlineStr">
        <is>
          <t>Ventas, stock, productos, métricas, historial e indicadores agregados</t>
        </is>
      </c>
      <c r="F31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31" s="3" t="inlineStr">
        <is>
          <t>Privacidad / Cookies queda operativo, protegido y trazable según BOLT-WEB-030.</t>
        </is>
      </c>
      <c r="H31" s="3" t="inlineStr">
        <is>
          <t>Validado con evidencia de código, pruebas automatizadas, matriz BOLT y artifacts del proyecto.</t>
        </is>
      </c>
      <c r="I31" s="5" t="inlineStr">
        <is>
          <t>Ejecutado</t>
        </is>
      </c>
      <c r="J31" s="3" t="inlineStr">
        <is>
          <t>calzatura-vilchez/src/context/CookieConsentContext.tsx:1; calzatura-vilchez/src/components/cookies/CookieBanner.tsx:1; calzatura-vilchez/e2e/cookie-consent.spec.ts:1</t>
        </is>
      </c>
      <c r="K31" s="3" t="inlineStr">
        <is>
          <t>Cierre en VERDE; mantener evidencia por versión y repetir en cambios de alto impacto.</t>
        </is>
      </c>
    </row>
    <row r="32">
      <c r="A32" s="3" t="inlineStr">
        <is>
          <t>CP-031</t>
        </is>
      </c>
      <c r="B32" s="3" t="inlineStr">
        <is>
          <t>RNF-013</t>
        </is>
      </c>
      <c r="C32" s="3" t="inlineStr">
        <is>
          <t>Docker / Portabilidad</t>
        </is>
      </c>
      <c r="D32" s="3" t="inlineStr">
        <is>
          <t>Modelo IA / integración</t>
        </is>
      </c>
      <c r="E32" s="3" t="inlineStr">
        <is>
          <t>Ventas, stock, productos, métricas, historial e indicadores agregados</t>
        </is>
      </c>
      <c r="F32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32" s="3" t="inlineStr">
        <is>
          <t>Docker / Portabilidad queda operativo, protegido y trazable según BOLT-WEB-031.</t>
        </is>
      </c>
      <c r="H32" s="3" t="inlineStr">
        <is>
          <t>Validado con evidencia de código, pruebas automatizadas, matriz BOLT y artifacts del proyecto.</t>
        </is>
      </c>
      <c r="I32" s="5" t="inlineStr">
        <is>
          <t>Ejecutado</t>
        </is>
      </c>
      <c r="J32" s="3" t="inlineStr">
        <is>
          <t>docker-compose.yml:1; calzatura-vilchez/Dockerfile:1; ai-service/Dockerfile:1; firebase-emulator/Dockerfile:1; .github/workflows/ci.yml:224</t>
        </is>
      </c>
      <c r="K32" s="3" t="inlineStr">
        <is>
          <t>Cierre en VERDE; mantener evidencia por versión y repetir en cambios de alto impacto.</t>
        </is>
      </c>
    </row>
    <row r="33">
      <c r="A33" s="3" t="inlineStr">
        <is>
          <t>CP-032</t>
        </is>
      </c>
      <c r="B33" s="3" t="inlineStr">
        <is>
          <t>RF-019</t>
        </is>
      </c>
      <c r="C33" s="3" t="inlineStr">
        <is>
          <t>Cliente / Favoritos</t>
        </is>
      </c>
      <c r="D33" s="3" t="inlineStr">
        <is>
          <t>Caja negra / integración</t>
        </is>
      </c>
      <c r="E33" s="3" t="inlineStr">
        <is>
          <t>Datos de producto, talla, color, stock, categoría, precio y código</t>
        </is>
      </c>
      <c r="F33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33" s="3" t="inlineStr">
        <is>
          <t>Cliente / Favoritos queda operativo, protegido y trazable según BOLT-WEB-032.</t>
        </is>
      </c>
      <c r="H33" s="3" t="inlineStr">
        <is>
          <t>Validado con evidencia de código, pruebas automatizadas, matriz BOLT y artifacts del proyecto.</t>
        </is>
      </c>
      <c r="I33" s="5" t="inlineStr">
        <is>
          <t>Ejecutado</t>
        </is>
      </c>
      <c r="J33" s="3" t="inlineStr">
        <is>
          <t>calzatura-vilchez/src/domains/clientes/context/FavoritesContext.tsx:70; calzatura-vilchez/src/domains/clientes/pages/FavoritesPage.tsx:13; calzatura-vilchez/e2e/favorites-isolation.spec.ts:52</t>
        </is>
      </c>
      <c r="K33" s="3" t="inlineStr">
        <is>
          <t>Cierre en VERDE; mantener evidencia por versión y repetir en cambios de alto impacto.</t>
        </is>
      </c>
    </row>
    <row r="34">
      <c r="A34" s="3" t="inlineStr">
        <is>
          <t>CP-033</t>
        </is>
      </c>
      <c r="B34" s="3" t="inlineStr">
        <is>
          <t>RF-020</t>
        </is>
      </c>
      <c r="C34" s="3" t="inlineStr">
        <is>
          <t>Cliente / Perfil</t>
        </is>
      </c>
      <c r="D34" s="3" t="inlineStr">
        <is>
          <t>Integración / seguridad</t>
        </is>
      </c>
      <c r="E34" s="3" t="inlineStr">
        <is>
          <t>Firebase token, DNI, correo, teléfono, rol o datos de perfil</t>
        </is>
      </c>
      <c r="F34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34" s="3" t="inlineStr">
        <is>
          <t>Cliente / Perfil queda operativo, protegido y trazable según BOLT-WEB-033.</t>
        </is>
      </c>
      <c r="H34" s="3" t="inlineStr">
        <is>
          <t>Validado con evidencia de código, pruebas automatizadas, matriz BOLT y artifacts del proyecto.</t>
        </is>
      </c>
      <c r="I34" s="5" t="inlineStr">
        <is>
          <t>Ejecutado</t>
        </is>
      </c>
      <c r="J34" s="3" t="inlineStr">
        <is>
          <t>calzatura-vilchez/src/domains/usuarios/pages/ProfilePage.tsx:34; calzatura-vilchez/bff/server.cjs:3610; calzatura-vilchez/bff/server.cjs:3727; calzatura-vilchez/e2e/profile-save.spec.ts:34</t>
        </is>
      </c>
      <c r="K34" s="3" t="inlineStr">
        <is>
          <t>Cierre en VERDE; mantener evidencia por versión y repetir en cambios de alto impacto.</t>
        </is>
      </c>
    </row>
    <row r="35">
      <c r="A35" s="3" t="inlineStr">
        <is>
          <t>CP-034</t>
        </is>
      </c>
      <c r="B35" s="3" t="inlineStr">
        <is>
          <t>RF-021</t>
        </is>
      </c>
      <c r="C35" s="3" t="inlineStr">
        <is>
          <t>Pedidos cliente / Historial</t>
        </is>
      </c>
      <c r="D35" s="3" t="inlineStr">
        <is>
          <t>Modelo IA / integración</t>
        </is>
      </c>
      <c r="E35" s="3" t="inlineStr">
        <is>
          <t>Ventas, stock, productos, métricas, historial e indicadores agregados</t>
        </is>
      </c>
      <c r="F35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35" s="3" t="inlineStr">
        <is>
          <t>Pedidos cliente / Historial queda operativo, protegido y trazable según BOLT-WEB-034.</t>
        </is>
      </c>
      <c r="H35" s="3" t="inlineStr">
        <is>
          <t>Validado con evidencia de código, pruebas automatizadas, matriz BOLT y artifacts del proyecto.</t>
        </is>
      </c>
      <c r="I35" s="5" t="inlineStr">
        <is>
          <t>Ejecutado</t>
        </is>
      </c>
      <c r="J35" s="3" t="inlineStr">
        <is>
          <t>calzatura-vilchez/src/domains/pedidos/pages/OrderHistoryPage.tsx:16; calzatura-vilchez/src/domains/pedidos/pages/OrderHistoryPage.tsx:32; calzatura-vilchez/src/domains/pedidos/pages/OrderHistoryPage.tsx:89; calzatura-vilchez/bff/server.cjs:2805</t>
        </is>
      </c>
      <c r="K35" s="3" t="inlineStr">
        <is>
          <t>Cierre en VERDE; mantener evidencia por versión y repetir en cambios de alto impacto.</t>
        </is>
      </c>
    </row>
    <row r="36">
      <c r="A36" s="3" t="inlineStr">
        <is>
          <t>CP-035</t>
        </is>
      </c>
      <c r="B36" s="3" t="inlineStr">
        <is>
          <t>RF-022</t>
        </is>
      </c>
      <c r="C36" s="3" t="inlineStr">
        <is>
          <t>Admin / Dashboard</t>
        </is>
      </c>
      <c r="D36" s="3" t="inlineStr">
        <is>
          <t>Modelo IA / integración</t>
        </is>
      </c>
      <c r="E36" s="3" t="inlineStr">
        <is>
          <t>Datos funcionales del módulo y sesión autorizada</t>
        </is>
      </c>
      <c r="F36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36" s="3" t="inlineStr">
        <is>
          <t>Admin / Dashboard queda operativo, protegido y trazable según BOLT-WEB-035.</t>
        </is>
      </c>
      <c r="H36" s="3" t="inlineStr">
        <is>
          <t>Validado con evidencia de código, pruebas automatizadas, matriz BOLT y artifacts del proyecto.</t>
        </is>
      </c>
      <c r="I36" s="5" t="inlineStr">
        <is>
          <t>Ejecutado</t>
        </is>
      </c>
      <c r="J36" s="3" t="inlineStr">
        <is>
          <t>calzatura-vilchez/src/domains/administradores/pages/AdminDashboard.tsx:331; calzatura-vilchez/src/domains/administradores/utils/adminDashboardMetrics.ts:60; calzatura-vilchez/e2e/admin-dashboard.spec.ts:131</t>
        </is>
      </c>
      <c r="K36" s="3" t="inlineStr">
        <is>
          <t>Cierre en VERDE; mantener evidencia por versión y repetir en cambios de alto impacto.</t>
        </is>
      </c>
    </row>
    <row r="37">
      <c r="A37" s="3" t="inlineStr">
        <is>
          <t>CP-036</t>
        </is>
      </c>
      <c r="B37" s="3" t="inlineStr">
        <is>
          <t>RF-023</t>
        </is>
      </c>
      <c r="C37" s="3" t="inlineStr">
        <is>
          <t>Admin productos / Imágenes</t>
        </is>
      </c>
      <c r="D37" s="3" t="inlineStr">
        <is>
          <t>Modelo IA / integración</t>
        </is>
      </c>
      <c r="E37" s="3" t="inlineStr">
        <is>
          <t>Datos de producto, talla, color, stock, categoría, precio y código</t>
        </is>
      </c>
      <c r="F37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37" s="3" t="inlineStr">
        <is>
          <t>Admin productos / Imágenes queda operativo, protegido y trazable según BOLT-WEB-036.</t>
        </is>
      </c>
      <c r="H37" s="3" t="inlineStr">
        <is>
          <t>Validado con evidencia de código, pruebas automatizadas, matriz BOLT y artifacts del proyecto.</t>
        </is>
      </c>
      <c r="I37" s="5" t="inlineStr">
        <is>
          <t>Ejecutado</t>
        </is>
      </c>
      <c r="J37" s="3" t="inlineStr">
        <is>
          <t>calzatura-vilchez/bff/cloudinarySign.cjs:6; calzatura-vilchez/bff/server.cjs:3172; calzatura-vilchez/src/domains/productos/pages/useAdminProductsPage.tsx:82; calzatura-vilchez/src/domains/productos/pages/adminProductsView/AdminProductEditGallery.tsx:5</t>
        </is>
      </c>
      <c r="K37" s="3" t="inlineStr">
        <is>
          <t>Cierre en VERDE; mantener evidencia por versión y repetir en cambios de alto impacto.</t>
        </is>
      </c>
    </row>
    <row r="38">
      <c r="A38" s="3" t="inlineStr">
        <is>
          <t>CP-037</t>
        </is>
      </c>
      <c r="B38" s="3" t="inlineStr">
        <is>
          <t>RF-024</t>
        </is>
      </c>
      <c r="C38" s="3" t="inlineStr">
        <is>
          <t>Checkout / Entrega</t>
        </is>
      </c>
      <c r="D38" s="3" t="inlineStr">
        <is>
          <t>Modelo IA / integración</t>
        </is>
      </c>
      <c r="E38" s="3" t="inlineStr">
        <is>
          <t>Carrito, dirección, método de pago, stock, precio e idempotency key</t>
        </is>
      </c>
      <c r="F38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38" s="3" t="inlineStr">
        <is>
          <t>Checkout / Entrega queda operativo, protegido y trazable según BOLT-WEB-037.</t>
        </is>
      </c>
      <c r="H38" s="3" t="inlineStr">
        <is>
          <t>Validado con evidencia de código, pruebas automatizadas, matriz BOLT y artifacts del proyecto.</t>
        </is>
      </c>
      <c r="I38" s="5" t="inlineStr">
        <is>
          <t>Ejecutado</t>
        </is>
      </c>
      <c r="J38" s="3" t="inlineStr">
        <is>
          <t>calzatura-vilchez/src/domains/carrito/components/CheckoutDeliveryBox.tsx:293; calzatura-vilchez/src/domains/carrito/components/CheckoutDeliveryMap.tsx:203; calzatura-vilchez/bff/deliveryPricing.cjs:2; calzatura-vilchez/bff/server.cjs:1520</t>
        </is>
      </c>
      <c r="K38" s="3" t="inlineStr">
        <is>
          <t>Cierre en VERDE; mantener evidencia por versión y repetir en cambios de alto impacto.</t>
        </is>
      </c>
    </row>
    <row r="39">
      <c r="A39" s="3" t="inlineStr">
        <is>
          <t>CP-038</t>
        </is>
      </c>
      <c r="B39" s="3" t="inlineStr">
        <is>
          <t>RF-025</t>
        </is>
      </c>
      <c r="C39" s="3" t="inlineStr">
        <is>
          <t>Admin datos / Importación Excel</t>
        </is>
      </c>
      <c r="D39" s="3" t="inlineStr">
        <is>
          <t>Modelo IA / integración</t>
        </is>
      </c>
      <c r="E39" s="3" t="inlineStr">
        <is>
          <t>Archivo .xlsx, colección, lote, escenario y filas validadas</t>
        </is>
      </c>
      <c r="F39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39" s="3" t="inlineStr">
        <is>
          <t>Admin datos / Importación Excel queda operativo, protegido y trazable según BOLT-WEB-038.</t>
        </is>
      </c>
      <c r="H39" s="3" t="inlineStr">
        <is>
          <t>Validado con evidencia de código, pruebas automatizadas, matriz BOLT y artifacts del proyecto.</t>
        </is>
      </c>
      <c r="I39" s="5" t="inlineStr">
        <is>
          <t>Ejecutado</t>
        </is>
      </c>
      <c r="J39" s="3" t="inlineStr">
        <is>
          <t>calzatura-vilchez/src/domains/administradores/pages/AdminData.tsx:975; calzatura-vilchez/src/domains/administradores/pages/AdminData.tsx:1060; calzatura-vilchez/src/domains/administradores/utils/importRules.ts:189; calzatura-vilchez/bff/server.cjs:2925</t>
        </is>
      </c>
      <c r="K39" s="3" t="inlineStr">
        <is>
          <t>Cierre en VERDE; mantener evidencia por versión y repetir en cambios de alto impacto.</t>
        </is>
      </c>
    </row>
    <row r="40">
      <c r="A40" s="3" t="inlineStr">
        <is>
          <t>CP-039</t>
        </is>
      </c>
      <c r="B40" s="3" t="inlineStr">
        <is>
          <t>RF-026</t>
        </is>
      </c>
      <c r="C40" s="3" t="inlineStr">
        <is>
          <t>Admin datos / Exportación Excel</t>
        </is>
      </c>
      <c r="D40" s="3" t="inlineStr">
        <is>
          <t>Caja negra / integración</t>
        </is>
      </c>
      <c r="E40" s="3" t="inlineStr">
        <is>
          <t>Datos de producto, talla, color, stock, categoría, precio y código</t>
        </is>
      </c>
      <c r="F40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40" s="3" t="inlineStr">
        <is>
          <t>Admin datos / Exportación Excel queda operativo, protegido y trazable según BOLT-WEB-039.</t>
        </is>
      </c>
      <c r="H40" s="3" t="inlineStr">
        <is>
          <t>Validado con evidencia de código, pruebas automatizadas, matriz BOLT y artifacts del proyecto.</t>
        </is>
      </c>
      <c r="I40" s="5" t="inlineStr">
        <is>
          <t>Ejecutado</t>
        </is>
      </c>
      <c r="J40" s="3" t="inlineStr">
        <is>
          <t>calzatura-vilchez/src/domains/administradores/utils/spreadsheet.ts:52; calzatura-vilchez/src/domains/administradores/utils/spreadsheet.ts:67; calzatura-vilchez/src/domains/administradores/pages/AdminData.tsx:632; calzatura-vilchez/src/domains/administradores/pages/AdminData.tsx:969</t>
        </is>
      </c>
      <c r="K40" s="3" t="inlineStr">
        <is>
          <t>Cierre en VERDE; mantener evidencia por versión y repetir en cambios de alto impacto.</t>
        </is>
      </c>
    </row>
    <row r="41">
      <c r="A41" s="3" t="inlineStr">
        <is>
          <t>CP-040</t>
        </is>
      </c>
      <c r="B41" s="3" t="inlineStr">
        <is>
          <t>RF-027</t>
        </is>
      </c>
      <c r="C41" s="3" t="inlineStr">
        <is>
          <t>Admin datos / Escenarios</t>
        </is>
      </c>
      <c r="D41" s="3" t="inlineStr">
        <is>
          <t>Caja negra / integración</t>
        </is>
      </c>
      <c r="E41" s="3" t="inlineStr">
        <is>
          <t>Datos funcionales del módulo y sesión autorizada</t>
        </is>
      </c>
      <c r="F41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41" s="3" t="inlineStr">
        <is>
          <t>Admin datos / Escenarios queda operativo, protegido y trazable según BOLT-WEB-040.</t>
        </is>
      </c>
      <c r="H41" s="3" t="inlineStr">
        <is>
          <t>Validado con evidencia de código, pruebas automatizadas, matriz BOLT y artifacts del proyecto.</t>
        </is>
      </c>
      <c r="I41" s="5" t="inlineStr">
        <is>
          <t>Ejecutado</t>
        </is>
      </c>
      <c r="J41" s="3" t="inlineStr">
        <is>
          <t>calzatura-vilchez/src/domains/administradores/pages/AdminData.tsx:1193; calzatura-vilchez/src/domains/administradores/pages/AdminData.tsx:1506; calzatura-vilchez/bff/server.cjs:3043; calzatura-vilchez/bff/server.cjs:3057</t>
        </is>
      </c>
      <c r="K41" s="3" t="inlineStr">
        <is>
          <t>Cierre en VERDE; mantener evidencia por versión y repetir en cambios de alto impacto.</t>
        </is>
      </c>
    </row>
    <row r="42">
      <c r="A42" s="3" t="inlineStr">
        <is>
          <t>CP-041</t>
        </is>
      </c>
      <c r="B42" s="3" t="inlineStr">
        <is>
          <t>RF-028</t>
        </is>
      </c>
      <c r="C42" s="3" t="inlineStr">
        <is>
          <t>Admin productos / Reglas comerciales</t>
        </is>
      </c>
      <c r="D42" s="3" t="inlineStr">
        <is>
          <t>Modelo IA / integración</t>
        </is>
      </c>
      <c r="E42" s="3" t="inlineStr">
        <is>
          <t>Datos de producto, talla, color, stock, categoría, precio y código</t>
        </is>
      </c>
      <c r="F42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42" s="3" t="inlineStr">
        <is>
          <t>Admin productos / Reglas comerciales queda operativo, protegido y trazable según BOLT-WEB-041.</t>
        </is>
      </c>
      <c r="H42" s="3" t="inlineStr">
        <is>
          <t>Validado con evidencia de código, pruebas automatizadas, matriz BOLT y artifacts del proyecto.</t>
        </is>
      </c>
      <c r="I42" s="5" t="inlineStr">
        <is>
          <t>Ejecutado</t>
        </is>
      </c>
      <c r="J42" s="3" t="inlineStr">
        <is>
          <t>calzatura-vilchez/src/domains/productos/utils/commercialRules.ts:172; calzatura-vilchez/src/domains/productos/pages/adminProductsInternals.ts:284; calzatura-vilchez/e2e/admin-commercial-guards.spec.ts:73</t>
        </is>
      </c>
      <c r="K42" s="3" t="inlineStr">
        <is>
          <t>Cierre en VERDE; mantener evidencia por versión y repetir en cambios de alto impacto.</t>
        </is>
      </c>
    </row>
    <row r="43">
      <c r="A43" s="3" t="inlineStr">
        <is>
          <t>CP-042</t>
        </is>
      </c>
      <c r="B43" s="3" t="inlineStr">
        <is>
          <t>RF-029</t>
        </is>
      </c>
      <c r="C43" s="3" t="inlineStr">
        <is>
          <t>Admin productos / Códigos</t>
        </is>
      </c>
      <c r="D43" s="3" t="inlineStr">
        <is>
          <t>Modelo IA / integración</t>
        </is>
      </c>
      <c r="E43" s="3" t="inlineStr">
        <is>
          <t>Datos de producto, talla, color, stock, categoría, precio y código</t>
        </is>
      </c>
      <c r="F43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43" s="3" t="inlineStr">
        <is>
          <t>Admin productos / Códigos queda operativo, protegido y trazable según BOLT-WEB-042.</t>
        </is>
      </c>
      <c r="H43" s="3" t="inlineStr">
        <is>
          <t>Validado con evidencia de código, pruebas automatizadas, matriz BOLT y artifacts del proyecto.</t>
        </is>
      </c>
      <c r="I43" s="5" t="inlineStr">
        <is>
          <t>Ejecutado</t>
        </is>
      </c>
      <c r="J43" s="3" t="inlineStr">
        <is>
          <t>calzatura-vilchez/bff/server.cjs:405; calzatura-vilchez/bff/server.cjs:2129; calzatura-vilchez/bff/server.cjs:3431; calzatura-vilchez/e2e/admin-code-guards.spec.ts:100</t>
        </is>
      </c>
      <c r="K43" s="3" t="inlineStr">
        <is>
          <t>Cierre en VERDE; mantener evidencia por versión y repetir en cambios de alto impacto.</t>
        </is>
      </c>
    </row>
    <row r="44">
      <c r="A44" s="3" t="inlineStr">
        <is>
          <t>CP-043</t>
        </is>
      </c>
      <c r="B44" s="3" t="inlineStr">
        <is>
          <t>RF-030</t>
        </is>
      </c>
      <c r="C44" s="3" t="inlineStr">
        <is>
          <t>Admin productos / Finanzas</t>
        </is>
      </c>
      <c r="D44" s="3" t="inlineStr">
        <is>
          <t>Modelo IA / integración</t>
        </is>
      </c>
      <c r="E44" s="3" t="inlineStr">
        <is>
          <t>Datos de producto, talla, color, stock, categoría, precio y código</t>
        </is>
      </c>
      <c r="F44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44" s="3" t="inlineStr">
        <is>
          <t>Admin productos / Finanzas queda operativo, protegido y trazable según BOLT-WEB-043.</t>
        </is>
      </c>
      <c r="H44" s="3" t="inlineStr">
        <is>
          <t>Validado con evidencia de código, pruebas automatizadas, matriz BOLT y artifacts del proyecto.</t>
        </is>
      </c>
      <c r="I44" s="5" t="inlineStr">
        <is>
          <t>Ejecutado</t>
        </is>
      </c>
      <c r="J44" s="3" t="inlineStr">
        <is>
          <t>calzatura-vilchez/bff/server.cjs:3193; calzatura-vilchez/bff/server.cjs:3226; calzatura-vilchez/bff/server.cjs:3247; calzatura-vilchez/supabase/migrations/20260519150000_harden_admin_rpcs_bff_only.sql:1</t>
        </is>
      </c>
      <c r="K44" s="3" t="inlineStr">
        <is>
          <t>Cierre en VERDE; mantener evidencia por versión y repetir en cambios de alto impacto.</t>
        </is>
      </c>
    </row>
    <row r="45">
      <c r="A45" s="3" t="inlineStr">
        <is>
          <t>CP-044</t>
        </is>
      </c>
      <c r="B45" s="3" t="inlineStr">
        <is>
          <t>RNF-014</t>
        </is>
      </c>
      <c r="C45" s="3" t="inlineStr">
        <is>
          <t>Supabase / Anti-regresión</t>
        </is>
      </c>
      <c r="D45" s="3" t="inlineStr">
        <is>
          <t>Caja blanca / calidad</t>
        </is>
      </c>
      <c r="E45" s="3" t="inlineStr">
        <is>
          <t>Datos funcionales del módulo y sesión autorizada</t>
        </is>
      </c>
      <c r="F45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45" s="3" t="inlineStr">
        <is>
          <t>Supabase / Anti-regresión queda operativo, protegido y trazable según BOLT-WEB-044.</t>
        </is>
      </c>
      <c r="H45" s="3" t="inlineStr">
        <is>
          <t>Validado con evidencia de código, pruebas automatizadas, matriz BOLT y artifacts del proyecto.</t>
        </is>
      </c>
      <c r="I45" s="5" t="inlineStr">
        <is>
          <t>Ejecutado</t>
        </is>
      </c>
      <c r="J45" s="3" t="inlineStr">
        <is>
          <t>calzatura-vilchez/src/__tests__/supabaseDirectAccessGuard.test.js:1; calzatura-vilchez/supabase/RLS-MATRIX.md:9; calzatura-vilchez/supabase/rls-matrix.contract.json:2</t>
        </is>
      </c>
      <c r="K45" s="3" t="inlineStr">
        <is>
          <t>Cierre en VERDE; mantener evidencia por versión y repetir en cambios de alto impacto.</t>
        </is>
      </c>
    </row>
    <row r="46">
      <c r="A46" s="3" t="inlineStr">
        <is>
          <t>CP-045</t>
        </is>
      </c>
      <c r="B46" s="3" t="inlineStr">
        <is>
          <t>RNF-015</t>
        </is>
      </c>
      <c r="C46" s="3" t="inlineStr">
        <is>
          <t>Supabase / RLS</t>
        </is>
      </c>
      <c r="D46" s="3" t="inlineStr">
        <is>
          <t>Integración / seguridad</t>
        </is>
      </c>
      <c r="E46" s="3" t="inlineStr">
        <is>
          <t>Datos funcionales del módulo y sesión autorizada</t>
        </is>
      </c>
      <c r="F46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46" s="3" t="inlineStr">
        <is>
          <t>Supabase / RLS queda operativo, protegido y trazable según BOLT-WEB-045.</t>
        </is>
      </c>
      <c r="H46" s="3" t="inlineStr">
        <is>
          <t>Validado con evidencia de código, pruebas automatizadas, matriz BOLT y artifacts del proyecto.</t>
        </is>
      </c>
      <c r="I46" s="5" t="inlineStr">
        <is>
          <t>Ejecutado</t>
        </is>
      </c>
      <c r="J46" s="3" t="inlineStr">
        <is>
          <t>calzatura-vilchez/supabase/RLS-MATRIX.md:1; calzatura-vilchez/supabase/migrations/20260529140000_harden_anon_authenticated_data_plane.sql:2; calzatura-vilchez/supabase/migrations/20260531200000_supabase_security_linter_remediation.sql:51</t>
        </is>
      </c>
      <c r="K46" s="3" t="inlineStr">
        <is>
          <t>Cierre en VERDE; mantener evidencia por versión y repetir en cambios de alto impacto.</t>
        </is>
      </c>
    </row>
    <row r="47">
      <c r="A47" s="3" t="inlineStr">
        <is>
          <t>CP-046</t>
        </is>
      </c>
      <c r="B47" s="3" t="inlineStr">
        <is>
          <t>RNF-016</t>
        </is>
      </c>
      <c r="C47" s="3" t="inlineStr">
        <is>
          <t>Auditoría / PII</t>
        </is>
      </c>
      <c r="D47" s="3" t="inlineStr">
        <is>
          <t>Integración / seguridad</t>
        </is>
      </c>
      <c r="E47" s="3" t="inlineStr">
        <is>
          <t>Firebase token, DNI, correo, teléfono, rol o datos de perfil</t>
        </is>
      </c>
      <c r="F47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47" s="3" t="inlineStr">
        <is>
          <t>Auditoría / PII queda operativo, protegido y trazable según BOLT-WEB-046.</t>
        </is>
      </c>
      <c r="H47" s="3" t="inlineStr">
        <is>
          <t>Validado con evidencia de código, pruebas automatizadas, matriz BOLT y artifacts del proyecto.</t>
        </is>
      </c>
      <c r="I47" s="5" t="inlineStr">
        <is>
          <t>Ejecutado</t>
        </is>
      </c>
      <c r="J47" s="3" t="inlineStr">
        <is>
          <t>calzatura-vilchez/supabase/migrations/20260521130000_redact_historical_auditoria_pii.sql:1; calzatura-vilchez/supabase/migrations/20260530150000_auditoria_pii_enforce_at_insert.sql:2; calzatura-vilchez/src/__tests__/bffAuditEndpointPolicy.test.js:22</t>
        </is>
      </c>
      <c r="K47" s="3" t="inlineStr">
        <is>
          <t>Cierre en VERDE; mantener evidencia por versión y repetir en cambios de alto impacto.</t>
        </is>
      </c>
    </row>
    <row r="48">
      <c r="A48" s="3" t="inlineStr">
        <is>
          <t>CP-047</t>
        </is>
      </c>
      <c r="B48" s="3" t="inlineStr">
        <is>
          <t>RF-031</t>
        </is>
      </c>
      <c r="C48" s="3" t="inlineStr">
        <is>
          <t>Pedidos / Estados</t>
        </is>
      </c>
      <c r="D48" s="3" t="inlineStr">
        <is>
          <t>Caja negra / integración</t>
        </is>
      </c>
      <c r="E48" s="3" t="inlineStr">
        <is>
          <t>Datos funcionales del módulo y sesión autorizada</t>
        </is>
      </c>
      <c r="F48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48" s="3" t="inlineStr">
        <is>
          <t>Pedidos / Estados queda operativo, protegido y trazable según BOLT-WEB-047.</t>
        </is>
      </c>
      <c r="H48" s="3" t="inlineStr">
        <is>
          <t>Validado con evidencia de código, pruebas automatizadas, matriz BOLT y artifacts del proyecto.</t>
        </is>
      </c>
      <c r="I48" s="5" t="inlineStr">
        <is>
          <t>Ejecutado</t>
        </is>
      </c>
      <c r="J48" s="3" t="inlineStr">
        <is>
          <t>calzatura-vilchez/functions/orderStatusPolicy.js:16; calzatura-vilchez/bff/server.cjs:1811; calzatura-vilchez/bff/server.cjs:2735; calzatura-vilchez/src/__tests__/bffOrderStatusPolicy.test.js:9</t>
        </is>
      </c>
      <c r="K48" s="3" t="inlineStr">
        <is>
          <t>Cierre en VERDE; mantener evidencia por versión y repetir en cambios de alto impacto.</t>
        </is>
      </c>
    </row>
    <row r="49">
      <c r="A49" s="3" t="inlineStr">
        <is>
          <t>CP-048</t>
        </is>
      </c>
      <c r="B49" s="3" t="inlineStr">
        <is>
          <t>RNF-017</t>
        </is>
      </c>
      <c r="C49" s="3" t="inlineStr">
        <is>
          <t>BFF / Rate limit</t>
        </is>
      </c>
      <c r="D49" s="3" t="inlineStr">
        <is>
          <t>Integración / seguridad</t>
        </is>
      </c>
      <c r="E49" s="3" t="inlineStr">
        <is>
          <t>Firebase token, DNI, correo, teléfono, rol o datos de perfil</t>
        </is>
      </c>
      <c r="F49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49" s="3" t="inlineStr">
        <is>
          <t>BFF / Rate limit queda operativo, protegido y trazable según BOLT-WEB-048.</t>
        </is>
      </c>
      <c r="H49" s="3" t="inlineStr">
        <is>
          <t>Validado con evidencia de código, pruebas automatizadas, matriz BOLT y artifacts del proyecto.</t>
        </is>
      </c>
      <c r="I49" s="5" t="inlineStr">
        <is>
          <t>Ejecutado</t>
        </is>
      </c>
      <c r="J49" s="3" t="inlineStr">
        <is>
          <t>calzatura-vilchez/bff/publicRateLimit.cjs:7; calzatura-vilchez/bff/publicRateLimit.cjs:76; calzatura-vilchez/bff/clientIp.cjs:17; calzatura-vilchez/bff/server.cjs:1500</t>
        </is>
      </c>
      <c r="K49" s="3" t="inlineStr">
        <is>
          <t>Cierre en VERDE; mantener evidencia por versión y repetir en cambios de alto impacto.</t>
        </is>
      </c>
    </row>
    <row r="50">
      <c r="A50" s="3" t="inlineStr">
        <is>
          <t>CP-049</t>
        </is>
      </c>
      <c r="B50" s="3" t="inlineStr">
        <is>
          <t>RF-032</t>
        </is>
      </c>
      <c r="C50" s="3" t="inlineStr">
        <is>
          <t>Trabajador / Ventas</t>
        </is>
      </c>
      <c r="D50" s="3" t="inlineStr">
        <is>
          <t>Caja negra / integración</t>
        </is>
      </c>
      <c r="E50" s="3" t="inlineStr">
        <is>
          <t>Producto, talla, cantidad, precio, documento y motivo si es devolución</t>
        </is>
      </c>
      <c r="F50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50" s="3" t="inlineStr">
        <is>
          <t>Trabajador / Ventas queda operativo, protegido y trazable según BOLT-WEB-049.</t>
        </is>
      </c>
      <c r="H50" s="3" t="inlineStr">
        <is>
          <t>Validado con evidencia de código, pruebas automatizadas, matriz BOLT y artifacts del proyecto.</t>
        </is>
      </c>
      <c r="I50" s="5" t="inlineStr">
        <is>
          <t>Ejecutado</t>
        </is>
      </c>
      <c r="J50" s="3" t="inlineStr">
        <is>
          <t>calzatura-vilchez/src/domains/trabajadores/pages/StaffSales.tsx:4; calzatura-vilchez/src/domains/trabajadores/components/StaffLayout.tsx:10; calzatura-vilchez/bff/server.cjs:2092; calzatura-vilchez/e2e/admin-sales.spec.ts:143</t>
        </is>
      </c>
      <c r="K50" s="3" t="inlineStr">
        <is>
          <t>Cierre en VERDE; mantener evidencia por versión y repetir en cambios de alto impacto.</t>
        </is>
      </c>
    </row>
    <row r="51">
      <c r="A51" s="3" t="inlineStr">
        <is>
          <t>CP-050</t>
        </is>
      </c>
      <c r="B51" s="3" t="inlineStr">
        <is>
          <t>RF-033</t>
        </is>
      </c>
      <c r="C51" s="3" t="inlineStr">
        <is>
          <t>Público / Registro</t>
        </is>
      </c>
      <c r="D51" s="3" t="inlineStr">
        <is>
          <t>Integración / seguridad</t>
        </is>
      </c>
      <c r="E51" s="3" t="inlineStr">
        <is>
          <t>Firebase token, DNI, correo, teléfono, rol o datos de perfil</t>
        </is>
      </c>
      <c r="F51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51" s="3" t="inlineStr">
        <is>
          <t>Público / Registro queda operativo, protegido y trazable según BOLT-WEB-050.</t>
        </is>
      </c>
      <c r="H51" s="3" t="inlineStr">
        <is>
          <t>Validado con evidencia de código, pruebas automatizadas, matriz BOLT y artifacts del proyecto.</t>
        </is>
      </c>
      <c r="I51" s="5" t="inlineStr">
        <is>
          <t>Ejecutado</t>
        </is>
      </c>
      <c r="J51" s="3" t="inlineStr">
        <is>
          <t>calzatura-vilchez/src/domains/publico/pages/Register.tsx:15; calzatura-vilchez/src/domains/publico/pages/registerFormValidation.ts:30; calzatura-vilchez/src/domains/usuarios/services/dni.ts:26; calzatura-vilchez/bff/server.cjs:1500</t>
        </is>
      </c>
      <c r="K51" s="3" t="inlineStr">
        <is>
          <t>Cierre en VERDE; mantener evidencia por versión y repetir en cambios de alto impacto.</t>
        </is>
      </c>
    </row>
    <row r="52">
      <c r="A52" s="3" t="inlineStr">
        <is>
          <t>CP-051</t>
        </is>
      </c>
      <c r="B52" s="3" t="inlineStr">
        <is>
          <t>RNF-018</t>
        </is>
      </c>
      <c r="C52" s="3" t="inlineStr">
        <is>
          <t>Firebase / App Check</t>
        </is>
      </c>
      <c r="D52" s="3" t="inlineStr">
        <is>
          <t>Integración / seguridad</t>
        </is>
      </c>
      <c r="E52" s="3" t="inlineStr">
        <is>
          <t>Datos funcionales del módulo y sesión autorizada</t>
        </is>
      </c>
      <c r="F52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52" s="3" t="inlineStr">
        <is>
          <t>Firebase / App Check queda operativo, protegido y trazable según BOLT-WEB-051.</t>
        </is>
      </c>
      <c r="H52" s="3" t="inlineStr">
        <is>
          <t>Validado con evidencia de código, pruebas automatizadas, matriz BOLT y artifacts del proyecto.</t>
        </is>
      </c>
      <c r="I52" s="5" t="inlineStr">
        <is>
          <t>Ejecutado</t>
        </is>
      </c>
      <c r="J52" s="3" t="inlineStr">
        <is>
          <t>calzatura-vilchez/bff/server.cjs:67; calzatura-vilchez/bff/server.cjs:1500; scripts/verify-deploy-firebase-secrets.mjs:1; calzatura-vilchez/bff/env.example:83</t>
        </is>
      </c>
      <c r="K52" s="3" t="inlineStr">
        <is>
          <t>Cierre en VERDE; mantener evidencia por versión y repetir en cambios de alto impacto.</t>
        </is>
      </c>
    </row>
    <row r="53">
      <c r="A53" s="3" t="inlineStr">
        <is>
          <t>CP-052</t>
        </is>
      </c>
      <c r="B53" s="3" t="inlineStr">
        <is>
          <t>RNF-019</t>
        </is>
      </c>
      <c r="C53" s="3" t="inlineStr">
        <is>
          <t>DevOps / Continuidad</t>
        </is>
      </c>
      <c r="D53" s="3" t="inlineStr">
        <is>
          <t>Modelo IA / integración</t>
        </is>
      </c>
      <c r="E53" s="3" t="inlineStr">
        <is>
          <t>Ventas, stock, productos, métricas, historial e indicadores agregados</t>
        </is>
      </c>
      <c r="F53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53" s="3" t="inlineStr">
        <is>
          <t>DevOps / Continuidad queda operativo, protegido y trazable según BOLT-WEB-052.</t>
        </is>
      </c>
      <c r="H53" s="3" t="inlineStr">
        <is>
          <t>Validado con evidencia de código, pruebas automatizadas, matriz BOLT y artifacts del proyecto.</t>
        </is>
      </c>
      <c r="I53" s="5" t="inlineStr">
        <is>
          <t>Ejecutado</t>
        </is>
      </c>
      <c r="J53" s="3" t="inlineStr">
        <is>
          <t>.github/workflows/ops-controls.yml:1; artifacts/restore-drill/local-test.json:1; docs/ops/readiness.sample.json:1</t>
        </is>
      </c>
      <c r="K53" s="3" t="inlineStr">
        <is>
          <t>Cierre en VERDE; mantener evidencia por versión y repetir en cambios de alto impacto.</t>
        </is>
      </c>
    </row>
    <row r="54">
      <c r="A54" s="3" t="inlineStr">
        <is>
          <t>CP-053</t>
        </is>
      </c>
      <c r="B54" s="3" t="inlineStr">
        <is>
          <t>RNF-020</t>
        </is>
      </c>
      <c r="C54" s="3" t="inlineStr">
        <is>
          <t>IA / Gobierno de modelo</t>
        </is>
      </c>
      <c r="D54" s="3" t="inlineStr">
        <is>
          <t>Modelo IA / integración</t>
        </is>
      </c>
      <c r="E54" s="3" t="inlineStr">
        <is>
          <t>Ventas, stock, productos, métricas, historial e indicadores agregados</t>
        </is>
      </c>
      <c r="F54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54" s="3" t="inlineStr">
        <is>
          <t>IA / Gobierno de modelo queda operativo, protegido y trazable según BOLT-WEB-053.</t>
        </is>
      </c>
      <c r="H54" s="3" t="inlineStr">
        <is>
          <t>Validado con evidencia de código, pruebas automatizadas, matriz BOLT y artifacts del proyecto.</t>
        </is>
      </c>
      <c r="I54" s="5" t="inlineStr">
        <is>
          <t>Ejecutado</t>
        </is>
      </c>
      <c r="J54" s="3" t="inlineStr">
        <is>
          <t>calzatura-vilchez/src/domains/administradores/pages/AdminPredictions.tsx:5; calzatura-vilchez/src/domains/administradores/predictions/AdminPredictionsDashboardTabs.tsx:425; scripts/ai-backtest-gate.mjs:1; ai-service/scripts/generate_sonar_generic_coverage.py:1</t>
        </is>
      </c>
      <c r="K54" s="3" t="inlineStr">
        <is>
          <t>Cierre en VERDE; mantener evidencia por versión y repetir en cambios de alto impacto.</t>
        </is>
      </c>
    </row>
    <row r="55">
      <c r="A55" s="3" t="inlineStr">
        <is>
          <t>CP-054</t>
        </is>
      </c>
      <c r="B55" s="3" t="inlineStr">
        <is>
          <t>RNF-021</t>
        </is>
      </c>
      <c r="C55" s="3" t="inlineStr">
        <is>
          <t>Calidad / Sonar</t>
        </is>
      </c>
      <c r="D55" s="3" t="inlineStr">
        <is>
          <t>Modelo IA / integración</t>
        </is>
      </c>
      <c r="E55" s="3" t="inlineStr">
        <is>
          <t>Ventas, stock, productos, métricas, historial e indicadores agregados</t>
        </is>
      </c>
      <c r="F55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55" s="3" t="inlineStr">
        <is>
          <t>Calidad / Sonar queda operativo, protegido y trazable según BOLT-WEB-054.</t>
        </is>
      </c>
      <c r="H55" s="3" t="inlineStr">
        <is>
          <t>Validado con evidencia de código, pruebas automatizadas, matriz BOLT y artifacts del proyecto.</t>
        </is>
      </c>
      <c r="I55" s="5" t="inlineStr">
        <is>
          <t>Ejecutado</t>
        </is>
      </c>
      <c r="J55" s="3" t="inlineStr">
        <is>
          <t>calzatura-vilchez/package.json:12; calzatura-vilchez/scripts/sonar-preflight.mjs:4; sonar-project.properties:1; calzatura-vilchez/scripts/fix-lcov-for-sonar.mjs:1</t>
        </is>
      </c>
      <c r="K55" s="3" t="inlineStr">
        <is>
          <t>Cierre en VERDE; mantener evidencia por versión y repetir en cambios de alto impacto.</t>
        </is>
      </c>
    </row>
    <row r="56">
      <c r="A56" s="3" t="inlineStr">
        <is>
          <t>CP-055</t>
        </is>
      </c>
      <c r="B56" s="3" t="inlineStr">
        <is>
          <t>RF-034</t>
        </is>
      </c>
      <c r="C56" s="3" t="inlineStr">
        <is>
          <t>Público / Campañas</t>
        </is>
      </c>
      <c r="D56" s="3" t="inlineStr">
        <is>
          <t>Modelo IA / integración</t>
        </is>
      </c>
      <c r="E56" s="3" t="inlineStr">
        <is>
          <t>Datos funcionales del módulo y sesión autorizada</t>
        </is>
      </c>
      <c r="F56" s="3" t="inlineStr">
        <is>
          <t>1) Preparar datos válidos y caso de error. 2) Ejecutar el flujo en UI/API. 3) Validar respuesta y estado persistido. 4) Revisar auditoría o evidencia técnica. 5) Confirmar ausencia de regresión.</t>
        </is>
      </c>
      <c r="G56" s="3" t="inlineStr">
        <is>
          <t>Público / Campañas queda operativo, protegido y trazable según BOLT-WEB-055.</t>
        </is>
      </c>
      <c r="H56" s="3" t="inlineStr">
        <is>
          <t>Validado con evidencia de código, pruebas automatizadas, matriz BOLT y artifacts del proyecto.</t>
        </is>
      </c>
      <c r="I56" s="5" t="inlineStr">
        <is>
          <t>Ejecutado</t>
        </is>
      </c>
      <c r="J56" s="3" t="inlineStr">
        <is>
          <t>calzatura-vilchez/src/domains/publico/pages/CyberWowLandingPage.tsx:7; calzatura-vilchez/src/domains/publico/pages/ClubCalzadoLandingPage.tsx:6; calzatura-vilchez/src/domains/productos/components/ProductsPageCampaignSection.tsx:1; calzatura-vilchez/e2e/campaign-landings.spec.ts:4</t>
        </is>
      </c>
      <c r="K56" s="3" t="inlineStr">
        <is>
          <t>Cierre en VERDE; mantener evidencia por versión y repetir en cambios de alto impacto.</t>
        </is>
      </c>
    </row>
  </sheetData>
  <autoFilter ref="A1:K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2" customWidth="1" min="3" max="3"/>
    <col width="58" customWidth="1" min="4" max="4"/>
    <col width="58" customWidth="1" min="5" max="5"/>
    <col width="42" customWidth="1" min="6" max="6"/>
    <col width="24" customWidth="1" min="7" max="7"/>
    <col width="58" customWidth="1" min="8" max="8"/>
    <col width="38" customWidth="1" min="9" max="9"/>
  </cols>
  <sheetData>
    <row r="1">
      <c r="A1" s="1" t="inlineStr">
        <is>
          <t>Código revisión</t>
        </is>
      </c>
      <c r="B1" s="1" t="inlineStr">
        <is>
          <t>Requisito</t>
        </is>
      </c>
      <c r="C1" s="1" t="inlineStr">
        <is>
          <t>Elemento técnico verificado</t>
        </is>
      </c>
      <c r="D1" s="1" t="inlineStr">
        <is>
          <t>Ruta/Archivo verificado</t>
        </is>
      </c>
      <c r="E1" s="1" t="inlineStr">
        <is>
          <t>Qué se verificó en código</t>
        </is>
      </c>
      <c r="F1" s="1" t="inlineStr">
        <is>
          <t>Criterio de aprobación</t>
        </is>
      </c>
      <c r="G1" s="1" t="inlineStr">
        <is>
          <t>Estado revisión</t>
        </is>
      </c>
      <c r="H1" s="1" t="inlineStr">
        <is>
          <t>Evidencia revisada</t>
        </is>
      </c>
      <c r="I1" s="1" t="inlineStr">
        <is>
          <t>Observación</t>
        </is>
      </c>
    </row>
    <row r="2">
      <c r="A2" s="3" t="inlineStr">
        <is>
          <t>RC-001</t>
        </is>
      </c>
      <c r="B2" s="3" t="inlineStr">
        <is>
          <t>RNF-001</t>
        </is>
      </c>
      <c r="C2" s="3" t="inlineStr">
        <is>
          <t>Sistema web / arquitectura general</t>
        </is>
      </c>
      <c r="D2" s="3" t="inlineStr">
        <is>
          <t>calzatura-vilchez/README.md:1; documentacion/05-especificacion-requisitos-software-SRS.md:1; calzatura-vilchez/src/domains/README.md:1</t>
        </is>
      </c>
      <c r="E2" s="3" t="inlineStr">
        <is>
          <t>Se verificó que el código implemente y respalde: Definir el sistema web de comercio electrónico y gestión administrativa de Calzatura Vilchez, incluyendo tienda pública, catálogo, carrito, checkout, pedidos, ventas físicas, Excel, auditoría, IA, BFF, Supabase, Docker, CI/CD y seguridad.</t>
        </is>
      </c>
      <c r="F2" s="3" t="inlineStr">
        <is>
          <t>Ruta existente, evidencia trazable, estado implementado y prueba ejecutada.</t>
        </is>
      </c>
      <c r="G2" s="5" t="inlineStr">
        <is>
          <t>Verificado en repositorio</t>
        </is>
      </c>
      <c r="H2" s="3" t="inlineStr">
        <is>
          <t>calzatura-vilchez/README.md:1; documentacion/05-especificacion-requisitos-software-SRS.md:1; calzatura-vilchez/src/domains/README.md:1</t>
        </is>
      </c>
      <c r="I2" s="3" t="inlineStr">
        <is>
          <t>Revisión cerrada en VERDE y enlazada a BOLT-WEB-001.</t>
        </is>
      </c>
    </row>
    <row r="3">
      <c r="A3" s="3" t="inlineStr">
        <is>
          <t>RC-002</t>
        </is>
      </c>
      <c r="B3" s="3" t="inlineStr">
        <is>
          <t>RF-001</t>
        </is>
      </c>
      <c r="C3" s="3" t="inlineStr">
        <is>
          <t>Público / Home</t>
        </is>
      </c>
      <c r="D3" s="3" t="inlineStr">
        <is>
          <t>calzatura-vilchez/src/domains/publico/components/HomeHeroSection.tsx:40; calzatura-vilchez/src/domains/publico/components/HomeHeroSection.tsx:278; calzatura-vilchez/src/domains/publico/pages/HomePage.tsx:322</t>
        </is>
      </c>
      <c r="E3" s="3" t="inlineStr">
        <is>
          <t>Se verificó que el código implemente y respalde: Implementar una página de inicio comercial con hero, promociones, imágenes, productos destacados y navegación hacia el catálogo.</t>
        </is>
      </c>
      <c r="F3" s="3" t="inlineStr">
        <is>
          <t>Ruta existente, evidencia trazable, estado implementado y prueba ejecutada.</t>
        </is>
      </c>
      <c r="G3" s="5" t="inlineStr">
        <is>
          <t>Verificado en repositorio</t>
        </is>
      </c>
      <c r="H3" s="3" t="inlineStr">
        <is>
          <t>calzatura-vilchez/src/domains/publico/components/HomeHeroSection.tsx:40; calzatura-vilchez/src/domains/publico/components/HomeHeroSection.tsx:278; calzatura-vilchez/src/domains/publico/pages/HomePage.tsx:322</t>
        </is>
      </c>
      <c r="I3" s="3" t="inlineStr">
        <is>
          <t>Revisión cerrada en VERDE y enlazada a BOLT-WEB-002.</t>
        </is>
      </c>
    </row>
    <row r="4">
      <c r="A4" s="3" t="inlineStr">
        <is>
          <t>RC-003</t>
        </is>
      </c>
      <c r="B4" s="3" t="inlineStr">
        <is>
          <t>RF-002</t>
        </is>
      </c>
      <c r="C4" s="3" t="inlineStr">
        <is>
          <t>Catálogo / Productos</t>
        </is>
      </c>
      <c r="D4" s="3" t="inlineStr">
        <is>
          <t>calzatura-vilchez/src/domains/productos/pages/ProductsPage.tsx:1; calzatura-vilchez/src/domains/productos/services/products.ts:1; calzatura-vilchez/e2e/catalog-filter-marca.spec.ts:81</t>
        </is>
      </c>
      <c r="E4" s="3" t="inlineStr">
        <is>
          <t>Se verificó que el código implemente y respalde: Permitir que el cliente explore productos activos, filtre por criterios comerciales y navegue al detalle del calzado.</t>
        </is>
      </c>
      <c r="F4" s="3" t="inlineStr">
        <is>
          <t>Ruta existente, evidencia trazable, estado implementado y prueba ejecutada.</t>
        </is>
      </c>
      <c r="G4" s="5" t="inlineStr">
        <is>
          <t>Verificado en repositorio</t>
        </is>
      </c>
      <c r="H4" s="3" t="inlineStr">
        <is>
          <t>calzatura-vilchez/src/domains/productos/pages/ProductsPage.tsx:1; calzatura-vilchez/src/domains/productos/services/products.ts:1; calzatura-vilchez/e2e/catalog-filter-marca.spec.ts:81</t>
        </is>
      </c>
      <c r="I4" s="3" t="inlineStr">
        <is>
          <t>Revisión cerrada en VERDE y enlazada a BOLT-WEB-003.</t>
        </is>
      </c>
    </row>
    <row r="5">
      <c r="A5" s="3" t="inlineStr">
        <is>
          <t>RC-004</t>
        </is>
      </c>
      <c r="B5" s="3" t="inlineStr">
        <is>
          <t>RF-003</t>
        </is>
      </c>
      <c r="C5" s="3" t="inlineStr">
        <is>
          <t>Catálogo / ProductCard</t>
        </is>
      </c>
      <c r="D5" s="3" t="inlineStr">
        <is>
          <t>calzatura-vilchez/src/domains/productos/components/ProductCard.tsx:23; calzatura-vilchez/src/domains/productos/components/ProductCard.tsx:101; calzatura-vilchez/src/domains/productos/components/ProductCard.tsx:219; calzatura-vilchez/e2e/catalog-cart.spec.ts:35</t>
        </is>
      </c>
      <c r="E5" s="3" t="inlineStr">
        <is>
          <t>Se verificó que el código implemente y respalde: Corregir la tarjeta de producto para que no tenga controles interactivos anidados y permita selección accesible de talla, favorito y detalle.</t>
        </is>
      </c>
      <c r="F5" s="3" t="inlineStr">
        <is>
          <t>Ruta existente, evidencia trazable, estado implementado y prueba ejecutada.</t>
        </is>
      </c>
      <c r="G5" s="5" t="inlineStr">
        <is>
          <t>Verificado en repositorio</t>
        </is>
      </c>
      <c r="H5" s="3" t="inlineStr">
        <is>
          <t>calzatura-vilchez/src/domains/productos/components/ProductCard.tsx:23; calzatura-vilchez/src/domains/productos/components/ProductCard.tsx:101; calzatura-vilchez/src/domains/productos/components/ProductCard.tsx:219; calzatura-vilchez/e2e/catalog-cart.spec.ts:35</t>
        </is>
      </c>
      <c r="I5" s="3" t="inlineStr">
        <is>
          <t>Revisión cerrada en VERDE y enlazada a BOLT-WEB-004.</t>
        </is>
      </c>
    </row>
    <row r="6">
      <c r="A6" s="3" t="inlineStr">
        <is>
          <t>RC-005</t>
        </is>
      </c>
      <c r="B6" s="3" t="inlineStr">
        <is>
          <t>RF-004</t>
        </is>
      </c>
      <c r="C6" s="3" t="inlineStr">
        <is>
          <t>Carrito</t>
        </is>
      </c>
      <c r="D6" s="3" t="inlineStr">
        <is>
          <t>calzatura-vilchez/src/domains/carrito/context/CartContext.tsx:37; calzatura-vilchez/src/domains/carrito/context/CartContext.tsx:71; calzatura-vilchez/src/domains/carrito/context/CartContext.tsx:92</t>
        </is>
      </c>
      <c r="E6" s="3" t="inlineStr">
        <is>
          <t>Se verificó que el código implemente y respalde: Gestionar carrito de compra por sesión, evitando persistencia innecesaria de preferencias en equipos compartidos.</t>
        </is>
      </c>
      <c r="F6" s="3" t="inlineStr">
        <is>
          <t>Ruta existente, evidencia trazable, estado implementado y prueba ejecutada.</t>
        </is>
      </c>
      <c r="G6" s="5" t="inlineStr">
        <is>
          <t>Verificado en repositorio</t>
        </is>
      </c>
      <c r="H6" s="3" t="inlineStr">
        <is>
          <t>calzatura-vilchez/src/domains/carrito/context/CartContext.tsx:37; calzatura-vilchez/src/domains/carrito/context/CartContext.tsx:71; calzatura-vilchez/src/domains/carrito/context/CartContext.tsx:92</t>
        </is>
      </c>
      <c r="I6" s="3" t="inlineStr">
        <is>
          <t>Revisión cerrada en VERDE y enlazada a BOLT-WEB-005.</t>
        </is>
      </c>
    </row>
    <row r="7">
      <c r="A7" s="3" t="inlineStr">
        <is>
          <t>RC-006</t>
        </is>
      </c>
      <c r="B7" s="3" t="inlineStr">
        <is>
          <t>RF-005</t>
        </is>
      </c>
      <c r="C7" s="3" t="inlineStr">
        <is>
          <t>Checkout</t>
        </is>
      </c>
      <c r="D7" s="3" t="inlineStr">
        <is>
          <t>calzatura-vilchez/src/domains/carrito/pages/CheckoutPage.tsx:40; calzatura-vilchez/src/domains/carrito/pages/CheckoutPage.tsx:53; calzatura-vilchez/src/domains/carrito/pages/CheckoutPage.tsx:152; calzatura-vilchez/e2e/checkout-cod-order.spec.ts:89</t>
        </is>
      </c>
      <c r="E7" s="3" t="inlineStr">
        <is>
          <t>Se verificó que el código implemente y respalde: Confirmar pedidos mediante checkout con validación de entrega, stock, precio, método de pago e idempotencia.</t>
        </is>
      </c>
      <c r="F7" s="3" t="inlineStr">
        <is>
          <t>Ruta existente, evidencia trazable, estado implementado y prueba ejecutada.</t>
        </is>
      </c>
      <c r="G7" s="5" t="inlineStr">
        <is>
          <t>Verificado en repositorio</t>
        </is>
      </c>
      <c r="H7" s="3" t="inlineStr">
        <is>
          <t>calzatura-vilchez/src/domains/carrito/pages/CheckoutPage.tsx:40; calzatura-vilchez/src/domains/carrito/pages/CheckoutPage.tsx:53; calzatura-vilchez/src/domains/carrito/pages/CheckoutPage.tsx:152; calzatura-vilchez/e2e/checkout-cod-order.spec.ts:89</t>
        </is>
      </c>
      <c r="I7" s="3" t="inlineStr">
        <is>
          <t>Revisión cerrada en VERDE y enlazada a BOLT-WEB-006.</t>
        </is>
      </c>
    </row>
    <row r="8">
      <c r="A8" s="3" t="inlineStr">
        <is>
          <t>RC-007</t>
        </is>
      </c>
      <c r="B8" s="3" t="inlineStr">
        <is>
          <t>RF-006</t>
        </is>
      </c>
      <c r="C8" s="3" t="inlineStr">
        <is>
          <t>Pedidos cliente</t>
        </is>
      </c>
      <c r="D8" s="3" t="inlineStr">
        <is>
          <t>calzatura-vilchez/src/domains/pedidos/pages/OrderSuccessPage.tsx:21; calzatura-vilchez/src/domains/pedidos/pages/OrderSuccessPage.tsx:52; calzatura-vilchez/src/domains/pedidos/pages/OrderSuccessPage.tsx:129</t>
        </is>
      </c>
      <c r="E8" s="3" t="inlineStr">
        <is>
          <t>Se verificó que el código implemente y respalde: Mostrar confirmación real de pedido y evitar que una página de éxito confirme un pedido inexistente.</t>
        </is>
      </c>
      <c r="F8" s="3" t="inlineStr">
        <is>
          <t>Ruta existente, evidencia trazable, estado implementado y prueba ejecutada.</t>
        </is>
      </c>
      <c r="G8" s="5" t="inlineStr">
        <is>
          <t>Verificado en repositorio</t>
        </is>
      </c>
      <c r="H8" s="3" t="inlineStr">
        <is>
          <t>calzatura-vilchez/src/domains/pedidos/pages/OrderSuccessPage.tsx:21; calzatura-vilchez/src/domains/pedidos/pages/OrderSuccessPage.tsx:52; calzatura-vilchez/src/domains/pedidos/pages/OrderSuccessPage.tsx:129</t>
        </is>
      </c>
      <c r="I8" s="3" t="inlineStr">
        <is>
          <t>Revisión cerrada en VERDE y enlazada a BOLT-WEB-007.</t>
        </is>
      </c>
    </row>
    <row r="9">
      <c r="A9" s="3" t="inlineStr">
        <is>
          <t>RC-008</t>
        </is>
      </c>
      <c r="B9" s="3" t="inlineStr">
        <is>
          <t>RNF-002</t>
        </is>
      </c>
      <c r="C9" s="3" t="inlineStr">
        <is>
          <t>Usuarios / DNI / PII</t>
        </is>
      </c>
      <c r="D9" s="3" t="inlineStr">
        <is>
          <t>calzatura-vilchez/src/domains/usuarios/services/dni.ts:1; calzatura-vilchez/bff/lookupDni.cjs:15; calzatura-vilchez/bff/server.cjs:1500</t>
        </is>
      </c>
      <c r="E9" s="3" t="inlineStr">
        <is>
          <t>Se verificó que el código implemente y respalde: Proteger registro, login y consulta DNI con Firebase, App Check, proof secret, rate limit y minimización de PII.</t>
        </is>
      </c>
      <c r="F9" s="3" t="inlineStr">
        <is>
          <t>Ruta existente, evidencia trazable, estado implementado y prueba ejecutada.</t>
        </is>
      </c>
      <c r="G9" s="5" t="inlineStr">
        <is>
          <t>Verificado en repositorio</t>
        </is>
      </c>
      <c r="H9" s="3" t="inlineStr">
        <is>
          <t>calzatura-vilchez/src/domains/usuarios/services/dni.ts:1; calzatura-vilchez/bff/lookupDni.cjs:15; calzatura-vilchez/bff/server.cjs:1500</t>
        </is>
      </c>
      <c r="I9" s="3" t="inlineStr">
        <is>
          <t>Revisión cerrada en VERDE y enlazada a BOLT-WEB-008.</t>
        </is>
      </c>
    </row>
    <row r="10">
      <c r="A10" s="3" t="inlineStr">
        <is>
          <t>RC-009</t>
        </is>
      </c>
      <c r="B10" s="3" t="inlineStr">
        <is>
          <t>RF-007</t>
        </is>
      </c>
      <c r="C10" s="3" t="inlineStr">
        <is>
          <t>Admin usuarios</t>
        </is>
      </c>
      <c r="D10" s="3" t="inlineStr">
        <is>
          <t>calzatura-vilchez/src/domains/usuarios/pages/AdminUsers.tsx:16; calzatura-vilchez/src/domains/usuarios/pages/AdminUsers.tsx:102; calzatura-vilchez/src/domains/usuarios/pages/AdminUsers.tsx:321</t>
        </is>
      </c>
      <c r="E10" s="3" t="inlineStr">
        <is>
          <t>Se verificó que el código implemente y respalde: Administrar usuarios y roles mostrando datos sensibles enmascarados y evitando elevación de privilegios.</t>
        </is>
      </c>
      <c r="F10" s="3" t="inlineStr">
        <is>
          <t>Ruta existente, evidencia trazable, estado implementado y prueba ejecutada.</t>
        </is>
      </c>
      <c r="G10" s="5" t="inlineStr">
        <is>
          <t>Verificado en repositorio</t>
        </is>
      </c>
      <c r="H10" s="3" t="inlineStr">
        <is>
          <t>calzatura-vilchez/src/domains/usuarios/pages/AdminUsers.tsx:16; calzatura-vilchez/src/domains/usuarios/pages/AdminUsers.tsx:102; calzatura-vilchez/src/domains/usuarios/pages/AdminUsers.tsx:321</t>
        </is>
      </c>
      <c r="I10" s="3" t="inlineStr">
        <is>
          <t>Revisión cerrada en VERDE y enlazada a BOLT-WEB-009.</t>
        </is>
      </c>
    </row>
    <row r="11">
      <c r="A11" s="3" t="inlineStr">
        <is>
          <t>RC-010</t>
        </is>
      </c>
      <c r="B11" s="3" t="inlineStr">
        <is>
          <t>RF-008</t>
        </is>
      </c>
      <c r="C11" s="3" t="inlineStr">
        <is>
          <t>Admin productos</t>
        </is>
      </c>
      <c r="D11" s="3" t="inlineStr">
        <is>
          <t>calzatura-vilchez/src/domains/productos/pages/useAdminProductsPage.tsx:1; calzatura-vilchez/bff/server.cjs:3313; calzatura-vilchez/bff/server.cjs:3387</t>
        </is>
      </c>
      <c r="E11" s="3" t="inlineStr">
        <is>
          <t>Se verificó que el código implemente y respalde: Administrar productos, variantes, imágenes, códigos, tallas, colores, stock, campañas y reglas comerciales.</t>
        </is>
      </c>
      <c r="F11" s="3" t="inlineStr">
        <is>
          <t>Ruta existente, evidencia trazable, estado implementado y prueba ejecutada.</t>
        </is>
      </c>
      <c r="G11" s="5" t="inlineStr">
        <is>
          <t>Verificado en repositorio</t>
        </is>
      </c>
      <c r="H11" s="3" t="inlineStr">
        <is>
          <t>calzatura-vilchez/src/domains/productos/pages/useAdminProductsPage.tsx:1; calzatura-vilchez/bff/server.cjs:3313; calzatura-vilchez/bff/server.cjs:3387</t>
        </is>
      </c>
      <c r="I11" s="3" t="inlineStr">
        <is>
          <t>Revisión cerrada en VERDE y enlazada a BOLT-WEB-010.</t>
        </is>
      </c>
    </row>
    <row r="12">
      <c r="A12" s="3" t="inlineStr">
        <is>
          <t>RC-011</t>
        </is>
      </c>
      <c r="B12" s="3" t="inlineStr">
        <is>
          <t>RF-009</t>
        </is>
      </c>
      <c r="C12" s="3" t="inlineStr">
        <is>
          <t>Admin productos / Stock</t>
        </is>
      </c>
      <c r="D12" s="3" t="inlineStr">
        <is>
          <t>calzatura-vilchez/bff/server.cjs:2456; calzatura-vilchez/bff/server.cjs:2494; calzatura-vilchez/bff/server.cjs:2518</t>
        </is>
      </c>
      <c r="E12" s="3" t="inlineStr">
        <is>
          <t>Se verificó que el código implemente y respalde: Controlar stock por talla/color con ingresos, descuentos y restauraciones atómicas.</t>
        </is>
      </c>
      <c r="F12" s="3" t="inlineStr">
        <is>
          <t>Ruta existente, evidencia trazable, estado implementado y prueba ejecutada.</t>
        </is>
      </c>
      <c r="G12" s="5" t="inlineStr">
        <is>
          <t>Verificado en repositorio</t>
        </is>
      </c>
      <c r="H12" s="3" t="inlineStr">
        <is>
          <t>calzatura-vilchez/bff/server.cjs:2456; calzatura-vilchez/bff/server.cjs:2494; calzatura-vilchez/bff/server.cjs:2518</t>
        </is>
      </c>
      <c r="I12" s="3" t="inlineStr">
        <is>
          <t>Revisión cerrada en VERDE y enlazada a BOLT-WEB-011.</t>
        </is>
      </c>
    </row>
    <row r="13">
      <c r="A13" s="3" t="inlineStr">
        <is>
          <t>RC-012</t>
        </is>
      </c>
      <c r="B13" s="3" t="inlineStr">
        <is>
          <t>RF-010</t>
        </is>
      </c>
      <c r="C13" s="3" t="inlineStr">
        <is>
          <t>Admin pedidos</t>
        </is>
      </c>
      <c r="D13" s="3" t="inlineStr">
        <is>
          <t>calzatura-vilchez/src/domains/pedidos/pages/AdminOrders.tsx:84; calzatura-vilchez/functions/orderStatusPolicy.js:16; calzatura-vilchez/bff/server.cjs:1815</t>
        </is>
      </c>
      <c r="E13" s="3" t="inlineStr">
        <is>
          <t>Se verificó que el código implemente y respalde: Administrar pedidos con transiciones de estado permitidas y bloqueo de pago manual para pedidos Stripe.</t>
        </is>
      </c>
      <c r="F13" s="3" t="inlineStr">
        <is>
          <t>Ruta existente, evidencia trazable, estado implementado y prueba ejecutada.</t>
        </is>
      </c>
      <c r="G13" s="5" t="inlineStr">
        <is>
          <t>Verificado en repositorio</t>
        </is>
      </c>
      <c r="H13" s="3" t="inlineStr">
        <is>
          <t>calzatura-vilchez/src/domains/pedidos/pages/AdminOrders.tsx:84; calzatura-vilchez/functions/orderStatusPolicy.js:16; calzatura-vilchez/bff/server.cjs:1815</t>
        </is>
      </c>
      <c r="I13" s="3" t="inlineStr">
        <is>
          <t>Revisión cerrada en VERDE y enlazada a BOLT-WEB-012.</t>
        </is>
      </c>
    </row>
    <row r="14">
      <c r="A14" s="3" t="inlineStr">
        <is>
          <t>RC-013</t>
        </is>
      </c>
      <c r="B14" s="3" t="inlineStr">
        <is>
          <t>RF-011</t>
        </is>
      </c>
      <c r="C14" s="3" t="inlineStr">
        <is>
          <t>Admin fabricantes</t>
        </is>
      </c>
      <c r="D14" s="3" t="inlineStr">
        <is>
          <t>calzatura-vilchez/src/domains/fabricantes/pages/AdminManufacturers.tsx:74; calzatura-vilchez/src/domains/fabricantes/pages/AdminManufacturers.tsx:350; calzatura-vilchez/src/domains/fabricantes/pages/AdminManufacturers.tsx:717</t>
        </is>
      </c>
      <c r="E14" s="3" t="inlineStr">
        <is>
          <t>Se verificó que el código implemente y respalde: Gestionar fabricantes y marcas con formularios, documentos, búsqueda y eliminación mediante diálogo accesible.</t>
        </is>
      </c>
      <c r="F14" s="3" t="inlineStr">
        <is>
          <t>Ruta existente, evidencia trazable, estado implementado y prueba ejecutada.</t>
        </is>
      </c>
      <c r="G14" s="5" t="inlineStr">
        <is>
          <t>Verificado en repositorio</t>
        </is>
      </c>
      <c r="H14" s="3" t="inlineStr">
        <is>
          <t>calzatura-vilchez/src/domains/fabricantes/pages/AdminManufacturers.tsx:74; calzatura-vilchez/src/domains/fabricantes/pages/AdminManufacturers.tsx:350; calzatura-vilchez/src/domains/fabricantes/pages/AdminManufacturers.tsx:717</t>
        </is>
      </c>
      <c r="I14" s="3" t="inlineStr">
        <is>
          <t>Revisión cerrada en VERDE y enlazada a BOLT-WEB-013.</t>
        </is>
      </c>
    </row>
    <row r="15">
      <c r="A15" s="3" t="inlineStr">
        <is>
          <t>RC-014</t>
        </is>
      </c>
      <c r="B15" s="3" t="inlineStr">
        <is>
          <t>RF-012</t>
        </is>
      </c>
      <c r="C15" s="3" t="inlineStr">
        <is>
          <t>Admin ventas</t>
        </is>
      </c>
      <c r="D15" s="3" t="inlineStr">
        <is>
          <t>calzatura-vilchez/src/domains/ventas/pages/useSalesPage.ts:295; calzatura-vilchez/src/domains/ventas/pages/adminSalesRegisterLogic.ts:272; calzatura-vilchez/e2e/admin-sales.spec.ts:143</t>
        </is>
      </c>
      <c r="E15" s="3" t="inlineStr">
        <is>
          <t>Se verificó que el código implemente y respalde: Registrar ventas físicas de tienda con selección de producto, talla, precio, documento, encargado y actualización de stock.</t>
        </is>
      </c>
      <c r="F15" s="3" t="inlineStr">
        <is>
          <t>Ruta existente, evidencia trazable, estado implementado y prueba ejecutada.</t>
        </is>
      </c>
      <c r="G15" s="5" t="inlineStr">
        <is>
          <t>Verificado en repositorio</t>
        </is>
      </c>
      <c r="H15" s="3" t="inlineStr">
        <is>
          <t>calzatura-vilchez/src/domains/ventas/pages/useSalesPage.ts:295; calzatura-vilchez/src/domains/ventas/pages/adminSalesRegisterLogic.ts:272; calzatura-vilchez/e2e/admin-sales.spec.ts:143</t>
        </is>
      </c>
      <c r="I15" s="3" t="inlineStr">
        <is>
          <t>Revisión cerrada en VERDE y enlazada a BOLT-WEB-014.</t>
        </is>
      </c>
    </row>
    <row r="16">
      <c r="A16" s="3" t="inlineStr">
        <is>
          <t>RC-015</t>
        </is>
      </c>
      <c r="B16" s="3" t="inlineStr">
        <is>
          <t>RF-013</t>
        </is>
      </c>
      <c r="C16" s="3" t="inlineStr">
        <is>
          <t>Admin ventas / Devoluciones</t>
        </is>
      </c>
      <c r="D16" s="3" t="inlineStr">
        <is>
          <t>calzatura-vilchez/src/domains/ventas/pages/AdminSaleDetailModal.tsx:53; calzatura-vilchez/src/domains/ventas/pages/AdminSaleDetailModal.tsx:143; calzatura-vilchez/e2e/admin-sales.spec.ts:229</t>
        </is>
      </c>
      <c r="E16" s="3" t="inlineStr">
        <is>
          <t>Se verificó que el código implemente y respalde: Registrar devoluciones de ventas físicas con motivo obligatorio y restauración automática de stock.</t>
        </is>
      </c>
      <c r="F16" s="3" t="inlineStr">
        <is>
          <t>Ruta existente, evidencia trazable, estado implementado y prueba ejecutada.</t>
        </is>
      </c>
      <c r="G16" s="5" t="inlineStr">
        <is>
          <t>Verificado en repositorio</t>
        </is>
      </c>
      <c r="H16" s="3" t="inlineStr">
        <is>
          <t>calzatura-vilchez/src/domains/ventas/pages/AdminSaleDetailModal.tsx:53; calzatura-vilchez/src/domains/ventas/pages/AdminSaleDetailModal.tsx:143; calzatura-vilchez/e2e/admin-sales.spec.ts:229</t>
        </is>
      </c>
      <c r="I16" s="3" t="inlineStr">
        <is>
          <t>Revisión cerrada en VERDE y enlazada a BOLT-WEB-015.</t>
        </is>
      </c>
    </row>
    <row r="17">
      <c r="A17" s="3" t="inlineStr">
        <is>
          <t>RC-016</t>
        </is>
      </c>
      <c r="B17" s="3" t="inlineStr">
        <is>
          <t>RF-014</t>
        </is>
      </c>
      <c r="C17" s="3" t="inlineStr">
        <is>
          <t>Admin datos Excel</t>
        </is>
      </c>
      <c r="D17" s="3" t="inlineStr">
        <is>
          <t>calzatura-vilchez/src/domains/administradores/pages/AdminData.tsx:975; calzatura-vilchez/src/domains/administradores/pages/AdminData.tsx:1060; calzatura-vilchez/src/domains/administradores/utils/importRules.ts:189</t>
        </is>
      </c>
      <c r="E17" s="3" t="inlineStr">
        <is>
          <t>Se verificó que el código implemente y respalde: Importar y exportar productos, finanzas y ventas mediante Excel con reglas comerciales actualizadas.</t>
        </is>
      </c>
      <c r="F17" s="3" t="inlineStr">
        <is>
          <t>Ruta existente, evidencia trazable, estado implementado y prueba ejecutada.</t>
        </is>
      </c>
      <c r="G17" s="5" t="inlineStr">
        <is>
          <t>Verificado en repositorio</t>
        </is>
      </c>
      <c r="H17" s="3" t="inlineStr">
        <is>
          <t>calzatura-vilchez/src/domains/administradores/pages/AdminData.tsx:975; calzatura-vilchez/src/domains/administradores/pages/AdminData.tsx:1060; calzatura-vilchez/src/domains/administradores/utils/importRules.ts:189</t>
        </is>
      </c>
      <c r="I17" s="3" t="inlineStr">
        <is>
          <t>Revisión cerrada en VERDE y enlazada a BOLT-WEB-016.</t>
        </is>
      </c>
    </row>
    <row r="18">
      <c r="A18" s="3" t="inlineStr">
        <is>
          <t>RC-017</t>
        </is>
      </c>
      <c r="B18" s="3" t="inlineStr">
        <is>
          <t>RNF-003</t>
        </is>
      </c>
      <c r="C18" s="3" t="inlineStr">
        <is>
          <t>Admin datos Excel / Seguridad</t>
        </is>
      </c>
      <c r="D18" s="3" t="inlineStr">
        <is>
          <t>calzatura-vilchez/src/domains/administradores/utils/spreadsheet.ts:52; calzatura-vilchez/src/domains/administradores/utils/spreadsheet.ts:67; calzatura-vilchez/src/__tests__/spreadsheet.test.ts:1</t>
        </is>
      </c>
      <c r="E18" s="3" t="inlineStr">
        <is>
          <t>Se verificó que el código implemente y respalde: Neutralizar fórmulas maliciosas al exportar hojas Excel para evitar spreadsheet injection.</t>
        </is>
      </c>
      <c r="F18" s="3" t="inlineStr">
        <is>
          <t>Ruta existente, evidencia trazable, estado implementado y prueba ejecutada.</t>
        </is>
      </c>
      <c r="G18" s="5" t="inlineStr">
        <is>
          <t>Verificado en repositorio</t>
        </is>
      </c>
      <c r="H18" s="3" t="inlineStr">
        <is>
          <t>calzatura-vilchez/src/domains/administradores/utils/spreadsheet.ts:52; calzatura-vilchez/src/domains/administradores/utils/spreadsheet.ts:67; calzatura-vilchez/src/__tests__/spreadsheet.test.ts:1</t>
        </is>
      </c>
      <c r="I18" s="3" t="inlineStr">
        <is>
          <t>Revisión cerrada en VERDE y enlazada a BOLT-WEB-017.</t>
        </is>
      </c>
    </row>
    <row r="19">
      <c r="A19" s="3" t="inlineStr">
        <is>
          <t>RC-018</t>
        </is>
      </c>
      <c r="B19" s="3" t="inlineStr">
        <is>
          <t>RNF-004</t>
        </is>
      </c>
      <c r="C19" s="3" t="inlineStr">
        <is>
          <t>Auditoría</t>
        </is>
      </c>
      <c r="D19" s="3" t="inlineStr">
        <is>
          <t>calzatura-vilchez/bff/server.cjs:636; calzatura-vilchez/bff/server.cjs:683; calzatura-vilchez/bff/server.cjs:3630; calzatura-vilchez/bff/auditPii.cjs:1</t>
        </is>
      </c>
      <c r="E19" s="3" t="inlineStr">
        <is>
          <t>Se verificó que el código implemente y respalde: Proteger auditoría para que solo registre acciones permitidas, sin eventos arbitrarios desde navegador ni PII innecesaria.</t>
        </is>
      </c>
      <c r="F19" s="3" t="inlineStr">
        <is>
          <t>Ruta existente, evidencia trazable, estado implementado y prueba ejecutada.</t>
        </is>
      </c>
      <c r="G19" s="5" t="inlineStr">
        <is>
          <t>Verificado en repositorio</t>
        </is>
      </c>
      <c r="H19" s="3" t="inlineStr">
        <is>
          <t>calzatura-vilchez/bff/server.cjs:636; calzatura-vilchez/bff/server.cjs:683; calzatura-vilchez/bff/server.cjs:3630; calzatura-vilchez/bff/auditPii.cjs:1</t>
        </is>
      </c>
      <c r="I19" s="3" t="inlineStr">
        <is>
          <t>Revisión cerrada en VERDE y enlazada a BOLT-WEB-018.</t>
        </is>
      </c>
    </row>
    <row r="20">
      <c r="A20" s="3" t="inlineStr">
        <is>
          <t>RC-019</t>
        </is>
      </c>
      <c r="B20" s="3" t="inlineStr">
        <is>
          <t>RNF-005</t>
        </is>
      </c>
      <c r="C20" s="3" t="inlineStr">
        <is>
          <t>Pagos / Stripe</t>
        </is>
      </c>
      <c r="D20" s="3" t="inlineStr">
        <is>
          <t>calzatura-vilchez/bff/server.cjs:1815; calzatura-vilchez/bff/server.cjs:2543; calzatura-vilchez/bff/server.cjs:2718; calzatura-vilchez/bff/server.cjs:2726</t>
        </is>
      </c>
      <c r="E20" s="3" t="inlineStr">
        <is>
          <t>Se verificó que el código implemente y respalde: Validar pagos Stripe mediante webhook firmado y bloquear marcado manual de pagado para pedidos Stripe.</t>
        </is>
      </c>
      <c r="F20" s="3" t="inlineStr">
        <is>
          <t>Ruta existente, evidencia trazable, estado implementado y prueba ejecutada.</t>
        </is>
      </c>
      <c r="G20" s="5" t="inlineStr">
        <is>
          <t>Verificado en repositorio</t>
        </is>
      </c>
      <c r="H20" s="3" t="inlineStr">
        <is>
          <t>calzatura-vilchez/bff/server.cjs:1815; calzatura-vilchez/bff/server.cjs:2543; calzatura-vilchez/bff/server.cjs:2718; calzatura-vilchez/bff/server.cjs:2726</t>
        </is>
      </c>
      <c r="I20" s="3" t="inlineStr">
        <is>
          <t>Revisión cerrada en VERDE y enlazada a BOLT-WEB-019.</t>
        </is>
      </c>
    </row>
    <row r="21">
      <c r="A21" s="3" t="inlineStr">
        <is>
          <t>RC-020</t>
        </is>
      </c>
      <c r="B21" s="3" t="inlineStr">
        <is>
          <t>RNF-006</t>
        </is>
      </c>
      <c r="C21" s="3" t="inlineStr">
        <is>
          <t>BFF / Seguridad</t>
        </is>
      </c>
      <c r="D21" s="3" t="inlineStr">
        <is>
          <t>calzatura-vilchez/bff/publicRateLimit.cjs:7; calzatura-vilchez/bff/publicRateLimit.cjs:76; calzatura-vilchez/bff/securityMonitor.cjs:1</t>
        </is>
      </c>
      <c r="E21" s="3" t="inlineStr">
        <is>
          <t>Se verificó que el código implemente y respalde: Aplicar rate limit y monitoreo de seguridad en endpoints públicos para evitar abuso, scraping o enumeración.</t>
        </is>
      </c>
      <c r="F21" s="3" t="inlineStr">
        <is>
          <t>Ruta existente, evidencia trazable, estado implementado y prueba ejecutada.</t>
        </is>
      </c>
      <c r="G21" s="5" t="inlineStr">
        <is>
          <t>Verificado en repositorio</t>
        </is>
      </c>
      <c r="H21" s="3" t="inlineStr">
        <is>
          <t>calzatura-vilchez/bff/publicRateLimit.cjs:7; calzatura-vilchez/bff/publicRateLimit.cjs:76; calzatura-vilchez/bff/securityMonitor.cjs:1</t>
        </is>
      </c>
      <c r="I21" s="3" t="inlineStr">
        <is>
          <t>Revisión cerrada en VERDE y enlazada a BOLT-WEB-020.</t>
        </is>
      </c>
    </row>
    <row r="22">
      <c r="A22" s="3" t="inlineStr">
        <is>
          <t>RC-021</t>
        </is>
      </c>
      <c r="B22" s="3" t="inlineStr">
        <is>
          <t>RNF-007</t>
        </is>
      </c>
      <c r="C22" s="3" t="inlineStr">
        <is>
          <t>Seguridad DAST</t>
        </is>
      </c>
      <c r="D22" s="3" t="inlineStr">
        <is>
          <t>zap-reports/zap.yaml:24; zap-reports/zap-production-report-v2.json:2; zap-reports/zap-baseline-report.html:219</t>
        </is>
      </c>
      <c r="E22" s="3" t="inlineStr">
        <is>
          <t>Se verificó que el código implemente y respalde: Ejecutar pruebas Docker/ZAP de seguridad dinámica para confirmar que no existen hallazgos altos o críticos.</t>
        </is>
      </c>
      <c r="F22" s="3" t="inlineStr">
        <is>
          <t>Ruta existente, evidencia trazable, estado implementado y prueba ejecutada.</t>
        </is>
      </c>
      <c r="G22" s="5" t="inlineStr">
        <is>
          <t>Verificado en repositorio</t>
        </is>
      </c>
      <c r="H22" s="3" t="inlineStr">
        <is>
          <t>zap-reports/zap.yaml:24; zap-reports/zap-production-report-v2.json:2; zap-reports/zap-baseline-report.html:219</t>
        </is>
      </c>
      <c r="I22" s="3" t="inlineStr">
        <is>
          <t>Revisión cerrada en VERDE y enlazada a BOLT-WEB-021.</t>
        </is>
      </c>
    </row>
    <row r="23">
      <c r="A23" s="3" t="inlineStr">
        <is>
          <t>RC-022</t>
        </is>
      </c>
      <c r="B23" s="3" t="inlineStr">
        <is>
          <t>RNF-008</t>
        </is>
      </c>
      <c r="C23" s="3" t="inlineStr">
        <is>
          <t>Supabase / RLS / RPC</t>
        </is>
      </c>
      <c r="D23" s="3" t="inlineStr">
        <is>
          <t>calzatura-vilchez/supabase/migrations/20260519150000_harden_admin_rpcs_bff_only.sql:1; calzatura-vilchez/supabase/migrations/20260520120000_harden_auditoria_service_role.sql:1; calzatura-vilchez/src/__tests__/supabaseDirectAccessGuard.test.js:1</t>
        </is>
      </c>
      <c r="E23" s="3" t="inlineStr">
        <is>
          <t>Se verificó que el código implemente y respalde: Controlar acceso a Supabase mediante RLS, revoke y RPC administrativas únicamente por BFF/service_role.</t>
        </is>
      </c>
      <c r="F23" s="3" t="inlineStr">
        <is>
          <t>Ruta existente, evidencia trazable, estado implementado y prueba ejecutada.</t>
        </is>
      </c>
      <c r="G23" s="5" t="inlineStr">
        <is>
          <t>Verificado en repositorio</t>
        </is>
      </c>
      <c r="H23" s="3" t="inlineStr">
        <is>
          <t>calzatura-vilchez/supabase/migrations/20260519150000_harden_admin_rpcs_bff_only.sql:1; calzatura-vilchez/supabase/migrations/20260520120000_harden_auditoria_service_role.sql:1; calzatura-vilchez/src/__tests__/supabaseDirectAccessGuard.test.js:1</t>
        </is>
      </c>
      <c r="I23" s="3" t="inlineStr">
        <is>
          <t>Revisión cerrada en VERDE y enlazada a BOLT-WEB-022.</t>
        </is>
      </c>
    </row>
    <row r="24">
      <c r="A24" s="3" t="inlineStr">
        <is>
          <t>RC-023</t>
        </is>
      </c>
      <c r="B24" s="3" t="inlineStr">
        <is>
          <t>RNF-009</t>
        </is>
      </c>
      <c r="C24" s="3" t="inlineStr">
        <is>
          <t>Supabase / PII</t>
        </is>
      </c>
      <c r="D24" s="3" t="inlineStr">
        <is>
          <t>calzatura-vilchez/supabase/migrations/20260504230000_pgcrypto_dni_protection.sql:1; calzatura-vilchez/src/utils/maskEmail.ts:1; calzatura-vilchez/src/domains/usuarios/pages/AdminUsers.tsx:321</t>
        </is>
      </c>
      <c r="E24" s="3" t="inlineStr">
        <is>
          <t>Se verificó que el código implemente y respalde: Minimizar y proteger datos personales del usuario, especialmente DNI, correo y teléfono.</t>
        </is>
      </c>
      <c r="F24" s="3" t="inlineStr">
        <is>
          <t>Ruta existente, evidencia trazable, estado implementado y prueba ejecutada.</t>
        </is>
      </c>
      <c r="G24" s="5" t="inlineStr">
        <is>
          <t>Verificado en repositorio</t>
        </is>
      </c>
      <c r="H24" s="3" t="inlineStr">
        <is>
          <t>calzatura-vilchez/supabase/migrations/20260504230000_pgcrypto_dni_protection.sql:1; calzatura-vilchez/src/utils/maskEmail.ts:1; calzatura-vilchez/src/domains/usuarios/pages/AdminUsers.tsx:321</t>
        </is>
      </c>
      <c r="I24" s="3" t="inlineStr">
        <is>
          <t>Revisión cerrada en VERDE y enlazada a BOLT-WEB-023.</t>
        </is>
      </c>
    </row>
    <row r="25">
      <c r="A25" s="3" t="inlineStr">
        <is>
          <t>RC-024</t>
        </is>
      </c>
      <c r="B25" s="3" t="inlineStr">
        <is>
          <t>RF-015</t>
        </is>
      </c>
      <c r="C25" s="3" t="inlineStr">
        <is>
          <t>IA / Predicciones</t>
        </is>
      </c>
      <c r="D25" s="3" t="inlineStr">
        <is>
          <t>calzatura-vilchez/src/domains/administradores/pages/AdminPredictions.tsx:1; calzatura-vilchez/src/domains/administradores/predictions/AdminPredictionsDashboardTabs.tsx:425; scripts/ai-backtest-gate.mjs:1</t>
        </is>
      </c>
      <c r="E25" s="3" t="inlineStr">
        <is>
          <t>Se verificó que el código implemente y respalde: Mostrar predicciones, métricas, IRE, campañas y estado de suficiencia de datos para apoyar decisiones comerciales.</t>
        </is>
      </c>
      <c r="F25" s="3" t="inlineStr">
        <is>
          <t>Ruta existente, evidencia trazable, estado implementado y prueba ejecutada.</t>
        </is>
      </c>
      <c r="G25" s="5" t="inlineStr">
        <is>
          <t>Verificado en repositorio</t>
        </is>
      </c>
      <c r="H25" s="3" t="inlineStr">
        <is>
          <t>calzatura-vilchez/src/domains/administradores/pages/AdminPredictions.tsx:1; calzatura-vilchez/src/domains/administradores/predictions/AdminPredictionsDashboardTabs.tsx:425; scripts/ai-backtest-gate.mjs:1</t>
        </is>
      </c>
      <c r="I25" s="3" t="inlineStr">
        <is>
          <t>Revisión cerrada en VERDE y enlazada a BOLT-WEB-024.</t>
        </is>
      </c>
    </row>
    <row r="26">
      <c r="A26" s="3" t="inlineStr">
        <is>
          <t>RC-025</t>
        </is>
      </c>
      <c r="B26" s="3" t="inlineStr">
        <is>
          <t>RNF-010</t>
        </is>
      </c>
      <c r="C26" s="3" t="inlineStr">
        <is>
          <t>DevOps / CI/CD</t>
        </is>
      </c>
      <c r="D26" s="3" t="inlineStr">
        <is>
          <t>.github/workflows/ci.yml:1; .github/workflows/ci-integration.yml:1; .github/workflows/deploy-production.yml:1</t>
        </is>
      </c>
      <c r="E26" s="3" t="inlineStr">
        <is>
          <t>Se verificó que el código implemente y respalde: Ejecutar CI/CD con lint, typecheck, pruebas unitarias, E2E, migraciones, Docker, Functions y gates de despliegue.</t>
        </is>
      </c>
      <c r="F26" s="3" t="inlineStr">
        <is>
          <t>Ruta existente, evidencia trazable, estado implementado y prueba ejecutada.</t>
        </is>
      </c>
      <c r="G26" s="5" t="inlineStr">
        <is>
          <t>Verificado en repositorio</t>
        </is>
      </c>
      <c r="H26" s="3" t="inlineStr">
        <is>
          <t>.github/workflows/ci.yml:1; .github/workflows/ci-integration.yml:1; .github/workflows/deploy-production.yml:1</t>
        </is>
      </c>
      <c r="I26" s="3" t="inlineStr">
        <is>
          <t>Revisión cerrada en VERDE y enlazada a BOLT-WEB-025.</t>
        </is>
      </c>
    </row>
    <row r="27">
      <c r="A27" s="3" t="inlineStr">
        <is>
          <t>RC-026</t>
        </is>
      </c>
      <c r="B27" s="3" t="inlineStr">
        <is>
          <t>RNF-011</t>
        </is>
      </c>
      <c r="C27" s="3" t="inlineStr">
        <is>
          <t>Rendimiento / Stress</t>
        </is>
      </c>
      <c r="D27" s="3" t="inlineStr">
        <is>
          <t>artifacts/load-tests/autocannon-home-c2000-20260528-231905.json:1; load-tests/scenarios/read-mixed-2000.js:31; artifacts/load-tests/summary-500.json:1; artifacts/load-tests/summary-1000.json:1</t>
        </is>
      </c>
      <c r="E27" s="3" t="inlineStr">
        <is>
          <t>Se verificó que el código implemente y respalde: Validar capacidad web mediante pruebas de estrés y carga con autocannon y k6, incluyendo evidencia de 2000 conexiones concurrentes.</t>
        </is>
      </c>
      <c r="F27" s="3" t="inlineStr">
        <is>
          <t>Ruta existente, evidencia trazable, estado implementado y prueba ejecutada.</t>
        </is>
      </c>
      <c r="G27" s="5" t="inlineStr">
        <is>
          <t>Verificado en repositorio</t>
        </is>
      </c>
      <c r="H27" s="3" t="inlineStr">
        <is>
          <t>artifacts/load-tests/autocannon-home-c2000-20260528-231905.json:1; load-tests/scenarios/read-mixed-2000.js:31; artifacts/load-tests/summary-500.json:1; artifacts/load-tests/summary-1000.json:1</t>
        </is>
      </c>
      <c r="I27" s="3" t="inlineStr">
        <is>
          <t>Revisión cerrada en VERDE y enlazada a BOLT-WEB-026.</t>
        </is>
      </c>
    </row>
    <row r="28">
      <c r="A28" s="3" t="inlineStr">
        <is>
          <t>RC-027</t>
        </is>
      </c>
      <c r="B28" s="3" t="inlineStr">
        <is>
          <t>RNF-012</t>
        </is>
      </c>
      <c r="C28" s="3" t="inlineStr">
        <is>
          <t>Continuidad</t>
        </is>
      </c>
      <c r="D28" s="3" t="inlineStr">
        <is>
          <t>.github/workflows/ops-controls.yml:1; artifacts/restore-drill/local-test.json:1; docs/ops/readiness.sample.json:1</t>
        </is>
      </c>
      <c r="E28" s="3" t="inlineStr">
        <is>
          <t>Se verificó que el código implemente y respalde: Mantener continuidad operativa mediante readiness checks, restore drill y evidencia de recuperación.</t>
        </is>
      </c>
      <c r="F28" s="3" t="inlineStr">
        <is>
          <t>Ruta existente, evidencia trazable, estado implementado y prueba ejecutada.</t>
        </is>
      </c>
      <c r="G28" s="5" t="inlineStr">
        <is>
          <t>Verificado en repositorio</t>
        </is>
      </c>
      <c r="H28" s="3" t="inlineStr">
        <is>
          <t>.github/workflows/ops-controls.yml:1; artifacts/restore-drill/local-test.json:1; docs/ops/readiness.sample.json:1</t>
        </is>
      </c>
      <c r="I28" s="3" t="inlineStr">
        <is>
          <t>Revisión cerrada en VERDE y enlazada a BOLT-WEB-027.</t>
        </is>
      </c>
    </row>
    <row r="29">
      <c r="A29" s="3" t="inlineStr">
        <is>
          <t>RC-028</t>
        </is>
      </c>
      <c r="B29" s="3" t="inlineStr">
        <is>
          <t>RF-016</t>
        </is>
      </c>
      <c r="C29" s="3" t="inlineStr">
        <is>
          <t>Campañas</t>
        </is>
      </c>
      <c r="D29" s="3" t="inlineStr">
        <is>
          <t>calzatura-vilchez/src/domains/productos/components/ProductsPageCampaignSection.tsx:1; calzatura-vilchez/e2e/campaign-landings.spec.ts:1; calzatura-vilchez/e2e/admin-campana.spec.ts:84</t>
        </is>
      </c>
      <c r="E29" s="3" t="inlineStr">
        <is>
          <t>Se verificó que el código implemente y respalde: Gestionar campañas comerciales, outlet, nueva temporada y landings conectadas al catálogo.</t>
        </is>
      </c>
      <c r="F29" s="3" t="inlineStr">
        <is>
          <t>Ruta existente, evidencia trazable, estado implementado y prueba ejecutada.</t>
        </is>
      </c>
      <c r="G29" s="5" t="inlineStr">
        <is>
          <t>Verificado en repositorio</t>
        </is>
      </c>
      <c r="H29" s="3" t="inlineStr">
        <is>
          <t>calzatura-vilchez/src/domains/productos/components/ProductsPageCampaignSection.tsx:1; calzatura-vilchez/e2e/campaign-landings.spec.ts:1; calzatura-vilchez/e2e/admin-campana.spec.ts:84</t>
        </is>
      </c>
      <c r="I29" s="3" t="inlineStr">
        <is>
          <t>Revisión cerrada en VERDE y enlazada a BOLT-WEB-028.</t>
        </is>
      </c>
    </row>
    <row r="30">
      <c r="A30" s="3" t="inlineStr">
        <is>
          <t>RC-029</t>
        </is>
      </c>
      <c r="B30" s="3" t="inlineStr">
        <is>
          <t>RF-017</t>
        </is>
      </c>
      <c r="C30" s="3" t="inlineStr">
        <is>
          <t>Libro de reclamaciones</t>
        </is>
      </c>
      <c r="D30" s="3" t="inlineStr">
        <is>
          <t>calzatura-vilchez/src/domains/publico/components/ComplaintBookForm.tsx:1; calzatura-vilchez/bff/libroReclamaciones.cjs:1; calzatura-vilchez/src/__tests__/adminComplaints.test.ts:1</t>
        </is>
      </c>
      <c r="E30" s="3" t="inlineStr">
        <is>
          <t>Se verificó que el código implemente y respalde: Registrar, consultar y administrar hojas del libro de reclamaciones con validación, constancia y seguimiento.</t>
        </is>
      </c>
      <c r="F30" s="3" t="inlineStr">
        <is>
          <t>Ruta existente, evidencia trazable, estado implementado y prueba ejecutada.</t>
        </is>
      </c>
      <c r="G30" s="5" t="inlineStr">
        <is>
          <t>Verificado en repositorio</t>
        </is>
      </c>
      <c r="H30" s="3" t="inlineStr">
        <is>
          <t>calzatura-vilchez/src/domains/publico/components/ComplaintBookForm.tsx:1; calzatura-vilchez/bff/libroReclamaciones.cjs:1; calzatura-vilchez/src/__tests__/adminComplaints.test.ts:1</t>
        </is>
      </c>
      <c r="I30" s="3" t="inlineStr">
        <is>
          <t>Revisión cerrada en VERDE y enlazada a BOLT-WEB-029.</t>
        </is>
      </c>
    </row>
    <row r="31">
      <c r="A31" s="3" t="inlineStr">
        <is>
          <t>RC-030</t>
        </is>
      </c>
      <c r="B31" s="3" t="inlineStr">
        <is>
          <t>RF-018</t>
        </is>
      </c>
      <c r="C31" s="3" t="inlineStr">
        <is>
          <t>Privacidad / Cookies</t>
        </is>
      </c>
      <c r="D31" s="3" t="inlineStr">
        <is>
          <t>calzatura-vilchez/src/context/CookieConsentContext.tsx:1; calzatura-vilchez/src/components/cookies/CookieBanner.tsx:1; calzatura-vilchez/e2e/cookie-consent.spec.ts:1</t>
        </is>
      </c>
      <c r="E31" s="3" t="inlineStr">
        <is>
          <t>Se verificó que el código implemente y respalde: Gestionar consentimiento de cookies mediante banner, modal de preferencias y almacenamiento controlado.</t>
        </is>
      </c>
      <c r="F31" s="3" t="inlineStr">
        <is>
          <t>Ruta existente, evidencia trazable, estado implementado y prueba ejecutada.</t>
        </is>
      </c>
      <c r="G31" s="5" t="inlineStr">
        <is>
          <t>Verificado en repositorio</t>
        </is>
      </c>
      <c r="H31" s="3" t="inlineStr">
        <is>
          <t>calzatura-vilchez/src/context/CookieConsentContext.tsx:1; calzatura-vilchez/src/components/cookies/CookieBanner.tsx:1; calzatura-vilchez/e2e/cookie-consent.spec.ts:1</t>
        </is>
      </c>
      <c r="I31" s="3" t="inlineStr">
        <is>
          <t>Revisión cerrada en VERDE y enlazada a BOLT-WEB-030.</t>
        </is>
      </c>
    </row>
    <row r="32">
      <c r="A32" s="3" t="inlineStr">
        <is>
          <t>RC-031</t>
        </is>
      </c>
      <c r="B32" s="3" t="inlineStr">
        <is>
          <t>RNF-013</t>
        </is>
      </c>
      <c r="C32" s="3" t="inlineStr">
        <is>
          <t>Docker / Portabilidad</t>
        </is>
      </c>
      <c r="D32" s="3" t="inlineStr">
        <is>
          <t>docker-compose.yml:1; calzatura-vilchez/Dockerfile:1; ai-service/Dockerfile:1; firebase-emulator/Dockerfile:1; .github/workflows/ci.yml:224</t>
        </is>
      </c>
      <c r="E32" s="3" t="inlineStr">
        <is>
          <t>Se verificó que el código implemente y respalde: Garantizar portabilidad mediante Docker, Docker Compose, Dockerfile frontend, servicio IA dockerizado y emulador Firebase.</t>
        </is>
      </c>
      <c r="F32" s="3" t="inlineStr">
        <is>
          <t>Ruta existente, evidencia trazable, estado implementado y prueba ejecutada.</t>
        </is>
      </c>
      <c r="G32" s="5" t="inlineStr">
        <is>
          <t>Verificado en repositorio</t>
        </is>
      </c>
      <c r="H32" s="3" t="inlineStr">
        <is>
          <t>docker-compose.yml:1; calzatura-vilchez/Dockerfile:1; ai-service/Dockerfile:1; firebase-emulator/Dockerfile:1; .github/workflows/ci.yml:224</t>
        </is>
      </c>
      <c r="I32" s="3" t="inlineStr">
        <is>
          <t>Revisión cerrada en VERDE y enlazada a BOLT-WEB-031.</t>
        </is>
      </c>
    </row>
    <row r="33">
      <c r="A33" s="3" t="inlineStr">
        <is>
          <t>RC-032</t>
        </is>
      </c>
      <c r="B33" s="3" t="inlineStr">
        <is>
          <t>RF-019</t>
        </is>
      </c>
      <c r="C33" s="3" t="inlineStr">
        <is>
          <t>Cliente / Favoritos</t>
        </is>
      </c>
      <c r="D33" s="3" t="inlineStr">
        <is>
          <t>calzatura-vilchez/src/domains/clientes/context/FavoritesContext.tsx:70; calzatura-vilchez/src/domains/clientes/pages/FavoritesPage.tsx:13; calzatura-vilchez/e2e/favorites-isolation.spec.ts:52</t>
        </is>
      </c>
      <c r="E33" s="3" t="inlineStr">
        <is>
          <t>Se verificó que el código implemente y respalde: Gestionar favoritos privados por cuenta para que cada cliente conserve sus productos de interés sin mezclar datos entre usuarios.</t>
        </is>
      </c>
      <c r="F33" s="3" t="inlineStr">
        <is>
          <t>Ruta existente, evidencia trazable, estado implementado y prueba ejecutada.</t>
        </is>
      </c>
      <c r="G33" s="5" t="inlineStr">
        <is>
          <t>Verificado en repositorio</t>
        </is>
      </c>
      <c r="H33" s="3" t="inlineStr">
        <is>
          <t>calzatura-vilchez/src/domains/clientes/context/FavoritesContext.tsx:70; calzatura-vilchez/src/domains/clientes/pages/FavoritesPage.tsx:13; calzatura-vilchez/e2e/favorites-isolation.spec.ts:52</t>
        </is>
      </c>
      <c r="I33" s="3" t="inlineStr">
        <is>
          <t>Revisión cerrada en VERDE y enlazada a BOLT-WEB-032.</t>
        </is>
      </c>
    </row>
    <row r="34">
      <c r="A34" s="3" t="inlineStr">
        <is>
          <t>RC-033</t>
        </is>
      </c>
      <c r="B34" s="3" t="inlineStr">
        <is>
          <t>RF-020</t>
        </is>
      </c>
      <c r="C34" s="3" t="inlineStr">
        <is>
          <t>Cliente / Perfil</t>
        </is>
      </c>
      <c r="D34" s="3" t="inlineStr">
        <is>
          <t>calzatura-vilchez/src/domains/usuarios/pages/ProfilePage.tsx:34; calzatura-vilchez/bff/server.cjs:3610; calzatura-vilchez/bff/server.cjs:3727; calzatura-vilchez/e2e/profile-save.spec.ts:34</t>
        </is>
      </c>
      <c r="E34" s="3" t="inlineStr">
        <is>
          <t>Se verificó que el código implemente y respalde: Permitir que el cliente gestione su perfil con validaciones de teléfono, dirección y errores claros sin degradar la identidad legal validada por DNI.</t>
        </is>
      </c>
      <c r="F34" s="3" t="inlineStr">
        <is>
          <t>Ruta existente, evidencia trazable, estado implementado y prueba ejecutada.</t>
        </is>
      </c>
      <c r="G34" s="5" t="inlineStr">
        <is>
          <t>Verificado en repositorio</t>
        </is>
      </c>
      <c r="H34" s="3" t="inlineStr">
        <is>
          <t>calzatura-vilchez/src/domains/usuarios/pages/ProfilePage.tsx:34; calzatura-vilchez/bff/server.cjs:3610; calzatura-vilchez/bff/server.cjs:3727; calzatura-vilchez/e2e/profile-save.spec.ts:34</t>
        </is>
      </c>
      <c r="I34" s="3" t="inlineStr">
        <is>
          <t>Revisión cerrada en VERDE y enlazada a BOLT-WEB-033.</t>
        </is>
      </c>
    </row>
    <row r="35">
      <c r="A35" s="3" t="inlineStr">
        <is>
          <t>RC-034</t>
        </is>
      </c>
      <c r="B35" s="3" t="inlineStr">
        <is>
          <t>RF-021</t>
        </is>
      </c>
      <c r="C35" s="3" t="inlineStr">
        <is>
          <t>Pedidos cliente / Historial</t>
        </is>
      </c>
      <c r="D35" s="3" t="inlineStr">
        <is>
          <t>calzatura-vilchez/src/domains/pedidos/pages/OrderHistoryPage.tsx:16; calzatura-vilchez/src/domains/pedidos/pages/OrderHistoryPage.tsx:32; calzatura-vilchez/src/domains/pedidos/pages/OrderHistoryPage.tsx:89; calzatura-vilchez/bff/server.cjs:2805</t>
        </is>
      </c>
      <c r="E35" s="3" t="inlineStr">
        <is>
          <t>Se verificó que el código implemente y respalde: Mostrar historial de pedidos del cliente distinguiendo carga, lista vacía, fallo de red y detalle accesible de cada pedido.</t>
        </is>
      </c>
      <c r="F35" s="3" t="inlineStr">
        <is>
          <t>Ruta existente, evidencia trazable, estado implementado y prueba ejecutada.</t>
        </is>
      </c>
      <c r="G35" s="5" t="inlineStr">
        <is>
          <t>Verificado en repositorio</t>
        </is>
      </c>
      <c r="H35" s="3" t="inlineStr">
        <is>
          <t>calzatura-vilchez/src/domains/pedidos/pages/OrderHistoryPage.tsx:16; calzatura-vilchez/src/domains/pedidos/pages/OrderHistoryPage.tsx:32; calzatura-vilchez/src/domains/pedidos/pages/OrderHistoryPage.tsx:89; calzatura-vilchez/bff/server.cjs:2805</t>
        </is>
      </c>
      <c r="I35" s="3" t="inlineStr">
        <is>
          <t>Revisión cerrada en VERDE y enlazada a BOLT-WEB-034.</t>
        </is>
      </c>
    </row>
    <row r="36">
      <c r="A36" s="3" t="inlineStr">
        <is>
          <t>RC-035</t>
        </is>
      </c>
      <c r="B36" s="3" t="inlineStr">
        <is>
          <t>RF-022</t>
        </is>
      </c>
      <c r="C36" s="3" t="inlineStr">
        <is>
          <t>Admin / Dashboard</t>
        </is>
      </c>
      <c r="D36" s="3" t="inlineStr">
        <is>
          <t>calzatura-vilchez/src/domains/administradores/pages/AdminDashboard.tsx:331; calzatura-vilchez/src/domains/administradores/utils/adminDashboardMetrics.ts:60; calzatura-vilchez/e2e/admin-dashboard.spec.ts:131</t>
        </is>
      </c>
      <c r="E36" s="3" t="inlineStr">
        <is>
          <t>Se verificó que el código implemente y respalde: Consolidar el dashboard administrativo con KPIs, pedidos recientes, auditoría y estados de error/reintento para toma de decisiones.</t>
        </is>
      </c>
      <c r="F36" s="3" t="inlineStr">
        <is>
          <t>Ruta existente, evidencia trazable, estado implementado y prueba ejecutada.</t>
        </is>
      </c>
      <c r="G36" s="5" t="inlineStr">
        <is>
          <t>Verificado en repositorio</t>
        </is>
      </c>
      <c r="H36" s="3" t="inlineStr">
        <is>
          <t>calzatura-vilchez/src/domains/administradores/pages/AdminDashboard.tsx:331; calzatura-vilchez/src/domains/administradores/utils/adminDashboardMetrics.ts:60; calzatura-vilchez/e2e/admin-dashboard.spec.ts:131</t>
        </is>
      </c>
      <c r="I36" s="3" t="inlineStr">
        <is>
          <t>Revisión cerrada en VERDE y enlazada a BOLT-WEB-035.</t>
        </is>
      </c>
    </row>
    <row r="37">
      <c r="A37" s="3" t="inlineStr">
        <is>
          <t>RC-036</t>
        </is>
      </c>
      <c r="B37" s="3" t="inlineStr">
        <is>
          <t>RF-023</t>
        </is>
      </c>
      <c r="C37" s="3" t="inlineStr">
        <is>
          <t>Admin productos / Imágenes</t>
        </is>
      </c>
      <c r="D37" s="3" t="inlineStr">
        <is>
          <t>calzatura-vilchez/bff/cloudinarySign.cjs:6; calzatura-vilchez/bff/server.cjs:3172; calzatura-vilchez/src/domains/productos/pages/useAdminProductsPage.tsx:82; calzatura-vilchez/src/domains/productos/pages/adminProductsView/AdminProductEditGallery.tsx:5</t>
        </is>
      </c>
      <c r="E37" s="3" t="inlineStr">
        <is>
          <t>Se verificó que el código implemente y respalde: Gestionar imágenes de producto mediante firma de subida en servidor para mantener catálogo visual sin exponer secretos Cloudinary al navegador.</t>
        </is>
      </c>
      <c r="F37" s="3" t="inlineStr">
        <is>
          <t>Ruta existente, evidencia trazable, estado implementado y prueba ejecutada.</t>
        </is>
      </c>
      <c r="G37" s="5" t="inlineStr">
        <is>
          <t>Verificado en repositorio</t>
        </is>
      </c>
      <c r="H37" s="3" t="inlineStr">
        <is>
          <t>calzatura-vilchez/bff/cloudinarySign.cjs:6; calzatura-vilchez/bff/server.cjs:3172; calzatura-vilchez/src/domains/productos/pages/useAdminProductsPage.tsx:82; calzatura-vilchez/src/domains/productos/pages/adminProductsView/AdminProductEditGallery.tsx:5</t>
        </is>
      </c>
      <c r="I37" s="3" t="inlineStr">
        <is>
          <t>Revisión cerrada en VERDE y enlazada a BOLT-WEB-036.</t>
        </is>
      </c>
    </row>
    <row r="38">
      <c r="A38" s="3" t="inlineStr">
        <is>
          <t>RC-037</t>
        </is>
      </c>
      <c r="B38" s="3" t="inlineStr">
        <is>
          <t>RF-024</t>
        </is>
      </c>
      <c r="C38" s="3" t="inlineStr">
        <is>
          <t>Checkout / Entrega</t>
        </is>
      </c>
      <c r="D38" s="3" t="inlineStr">
        <is>
          <t>calzatura-vilchez/src/domains/carrito/components/CheckoutDeliveryBox.tsx:293; calzatura-vilchez/src/domains/carrito/components/CheckoutDeliveryMap.tsx:203; calzatura-vilchez/bff/deliveryPricing.cjs:2; calzatura-vilchez/bff/server.cjs:1520</t>
        </is>
      </c>
      <c r="E38" s="3" t="inlineStr">
        <is>
          <t>Se verificó que el código implemente y respalde: Calcular entrega, distancia y costo de envío con validación de ubicación, degradación controlada del mapa y límites de zona antes de confirmar el pedido.</t>
        </is>
      </c>
      <c r="F38" s="3" t="inlineStr">
        <is>
          <t>Ruta existente, evidencia trazable, estado implementado y prueba ejecutada.</t>
        </is>
      </c>
      <c r="G38" s="5" t="inlineStr">
        <is>
          <t>Verificado en repositorio</t>
        </is>
      </c>
      <c r="H38" s="3" t="inlineStr">
        <is>
          <t>calzatura-vilchez/src/domains/carrito/components/CheckoutDeliveryBox.tsx:293; calzatura-vilchez/src/domains/carrito/components/CheckoutDeliveryMap.tsx:203; calzatura-vilchez/bff/deliveryPricing.cjs:2; calzatura-vilchez/bff/server.cjs:1520</t>
        </is>
      </c>
      <c r="I38" s="3" t="inlineStr">
        <is>
          <t>Revisión cerrada en VERDE y enlazada a BOLT-WEB-037.</t>
        </is>
      </c>
    </row>
    <row r="39">
      <c r="A39" s="3" t="inlineStr">
        <is>
          <t>RC-038</t>
        </is>
      </c>
      <c r="B39" s="3" t="inlineStr">
        <is>
          <t>RF-025</t>
        </is>
      </c>
      <c r="C39" s="3" t="inlineStr">
        <is>
          <t>Admin datos / Importación Excel</t>
        </is>
      </c>
      <c r="D39" s="3" t="inlineStr">
        <is>
          <t>calzatura-vilchez/src/domains/administradores/pages/AdminData.tsx:975; calzatura-vilchez/src/domains/administradores/pages/AdminData.tsx:1060; calzatura-vilchez/src/domains/administradores/utils/importRules.ts:189; calzatura-vilchez/bff/server.cjs:2925</t>
        </is>
      </c>
      <c r="E39" s="3" t="inlineStr">
        <is>
          <t>Se verificó que el código implemente y respalde: Importar datos administrativos desde Excel con configuración por colección, validación previa, transformación de filas y envío al BFF.</t>
        </is>
      </c>
      <c r="F39" s="3" t="inlineStr">
        <is>
          <t>Ruta existente, evidencia trazable, estado implementado y prueba ejecutada.</t>
        </is>
      </c>
      <c r="G39" s="5" t="inlineStr">
        <is>
          <t>Verificado en repositorio</t>
        </is>
      </c>
      <c r="H39" s="3" t="inlineStr">
        <is>
          <t>calzatura-vilchez/src/domains/administradores/pages/AdminData.tsx:975; calzatura-vilchez/src/domains/administradores/pages/AdminData.tsx:1060; calzatura-vilchez/src/domains/administradores/utils/importRules.ts:189; calzatura-vilchez/bff/server.cjs:2925</t>
        </is>
      </c>
      <c r="I39" s="3" t="inlineStr">
        <is>
          <t>Revisión cerrada en VERDE y enlazada a BOLT-WEB-038.</t>
        </is>
      </c>
    </row>
    <row r="40">
      <c r="A40" s="3" t="inlineStr">
        <is>
          <t>RC-039</t>
        </is>
      </c>
      <c r="B40" s="3" t="inlineStr">
        <is>
          <t>RF-026</t>
        </is>
      </c>
      <c r="C40" s="3" t="inlineStr">
        <is>
          <t>Admin datos / Exportación Excel</t>
        </is>
      </c>
      <c r="D40" s="3" t="inlineStr">
        <is>
          <t>calzatura-vilchez/src/domains/administradores/utils/spreadsheet.ts:52; calzatura-vilchez/src/domains/administradores/utils/spreadsheet.ts:67; calzatura-vilchez/src/domains/administradores/pages/AdminData.tsx:632; calzatura-vilchez/src/domains/administradores/pages/AdminData.tsx:969</t>
        </is>
      </c>
      <c r="E40" s="3" t="inlineStr">
        <is>
          <t>Se verificó que el código implemente y respalde: Exportar plantillas, escenarios de prueba, productos, finanzas y ventas en formato Excel con sanitización de celdas para evitar fórmulas peligrosas.</t>
        </is>
      </c>
      <c r="F40" s="3" t="inlineStr">
        <is>
          <t>Ruta existente, evidencia trazable, estado implementado y prueba ejecutada.</t>
        </is>
      </c>
      <c r="G40" s="5" t="inlineStr">
        <is>
          <t>Verificado en repositorio</t>
        </is>
      </c>
      <c r="H40" s="3" t="inlineStr">
        <is>
          <t>calzatura-vilchez/src/domains/administradores/utils/spreadsheet.ts:52; calzatura-vilchez/src/domains/administradores/utils/spreadsheet.ts:67; calzatura-vilchez/src/domains/administradores/pages/AdminData.tsx:632; calzatura-vilchez/src/domains/administradores/pages/AdminData.tsx:969</t>
        </is>
      </c>
      <c r="I40" s="3" t="inlineStr">
        <is>
          <t>Revisión cerrada en VERDE y enlazada a BOLT-WEB-039.</t>
        </is>
      </c>
    </row>
    <row r="41">
      <c r="A41" s="3" t="inlineStr">
        <is>
          <t>RC-040</t>
        </is>
      </c>
      <c r="B41" s="3" t="inlineStr">
        <is>
          <t>RF-027</t>
        </is>
      </c>
      <c r="C41" s="3" t="inlineStr">
        <is>
          <t>Admin datos / Escenarios</t>
        </is>
      </c>
      <c r="D41" s="3" t="inlineStr">
        <is>
          <t>calzatura-vilchez/src/domains/administradores/pages/AdminData.tsx:1193; calzatura-vilchez/src/domains/administradores/pages/AdminData.tsx:1506; calzatura-vilchez/bff/server.cjs:3043; calzatura-vilchez/bff/server.cjs:3057</t>
        </is>
      </c>
      <c r="E41" s="3" t="inlineStr">
        <is>
          <t>Se verificó que el código implemente y respalde: Administrar datos de prueba importados por escenario, permitiendo identificar, listar y eliminar registros de prueba sin afectar datos reales.</t>
        </is>
      </c>
      <c r="F41" s="3" t="inlineStr">
        <is>
          <t>Ruta existente, evidencia trazable, estado implementado y prueba ejecutada.</t>
        </is>
      </c>
      <c r="G41" s="5" t="inlineStr">
        <is>
          <t>Verificado en repositorio</t>
        </is>
      </c>
      <c r="H41" s="3" t="inlineStr">
        <is>
          <t>calzatura-vilchez/src/domains/administradores/pages/AdminData.tsx:1193; calzatura-vilchez/src/domains/administradores/pages/AdminData.tsx:1506; calzatura-vilchez/bff/server.cjs:3043; calzatura-vilchez/bff/server.cjs:3057</t>
        </is>
      </c>
      <c r="I41" s="3" t="inlineStr">
        <is>
          <t>Revisión cerrada en VERDE y enlazada a BOLT-WEB-040.</t>
        </is>
      </c>
    </row>
    <row r="42">
      <c r="A42" s="3" t="inlineStr">
        <is>
          <t>RC-041</t>
        </is>
      </c>
      <c r="B42" s="3" t="inlineStr">
        <is>
          <t>RF-028</t>
        </is>
      </c>
      <c r="C42" s="3" t="inlineStr">
        <is>
          <t>Admin productos / Reglas comerciales</t>
        </is>
      </c>
      <c r="D42" s="3" t="inlineStr">
        <is>
          <t>calzatura-vilchez/src/domains/productos/utils/commercialRules.ts:172; calzatura-vilchez/src/domains/productos/pages/adminProductsInternals.ts:284; calzatura-vilchez/e2e/admin-commercial-guards.spec.ts:73</t>
        </is>
      </c>
      <c r="E42" s="3" t="inlineStr">
        <is>
          <t>Se verificó que el código implemente y respalde: Aplicar reglas comerciales de producto para categoría, tipo, estilo, material, costos, márgenes y precio público antes de persistir el catálogo.</t>
        </is>
      </c>
      <c r="F42" s="3" t="inlineStr">
        <is>
          <t>Ruta existente, evidencia trazable, estado implementado y prueba ejecutada.</t>
        </is>
      </c>
      <c r="G42" s="5" t="inlineStr">
        <is>
          <t>Verificado en repositorio</t>
        </is>
      </c>
      <c r="H42" s="3" t="inlineStr">
        <is>
          <t>calzatura-vilchez/src/domains/productos/utils/commercialRules.ts:172; calzatura-vilchez/src/domains/productos/pages/adminProductsInternals.ts:284; calzatura-vilchez/e2e/admin-commercial-guards.spec.ts:73</t>
        </is>
      </c>
      <c r="I42" s="3" t="inlineStr">
        <is>
          <t>Revisión cerrada en VERDE y enlazada a BOLT-WEB-041.</t>
        </is>
      </c>
    </row>
    <row r="43">
      <c r="A43" s="3" t="inlineStr">
        <is>
          <t>RC-042</t>
        </is>
      </c>
      <c r="B43" s="3" t="inlineStr">
        <is>
          <t>RF-029</t>
        </is>
      </c>
      <c r="C43" s="3" t="inlineStr">
        <is>
          <t>Admin productos / Códigos</t>
        </is>
      </c>
      <c r="D43" s="3" t="inlineStr">
        <is>
          <t>calzatura-vilchez/bff/server.cjs:405; calzatura-vilchez/bff/server.cjs:2129; calzatura-vilchez/bff/server.cjs:3431; calzatura-vilchez/e2e/admin-code-guards.spec.ts:100</t>
        </is>
      </c>
      <c r="E43" s="3" t="inlineStr">
        <is>
          <t>Se verificó que el código implemente y respalde: Evitar duplicidad de códigos de producto y variantes para sostener trazabilidad de stock, ventas, importaciones y auditoría.</t>
        </is>
      </c>
      <c r="F43" s="3" t="inlineStr">
        <is>
          <t>Ruta existente, evidencia trazable, estado implementado y prueba ejecutada.</t>
        </is>
      </c>
      <c r="G43" s="5" t="inlineStr">
        <is>
          <t>Verificado en repositorio</t>
        </is>
      </c>
      <c r="H43" s="3" t="inlineStr">
        <is>
          <t>calzatura-vilchez/bff/server.cjs:405; calzatura-vilchez/bff/server.cjs:2129; calzatura-vilchez/bff/server.cjs:3431; calzatura-vilchez/e2e/admin-code-guards.spec.ts:100</t>
        </is>
      </c>
      <c r="I43" s="3" t="inlineStr">
        <is>
          <t>Revisión cerrada en VERDE y enlazada a BOLT-WEB-042.</t>
        </is>
      </c>
    </row>
    <row r="44">
      <c r="A44" s="3" t="inlineStr">
        <is>
          <t>RC-043</t>
        </is>
      </c>
      <c r="B44" s="3" t="inlineStr">
        <is>
          <t>RF-030</t>
        </is>
      </c>
      <c r="C44" s="3" t="inlineStr">
        <is>
          <t>Admin productos / Finanzas</t>
        </is>
      </c>
      <c r="D44" s="3" t="inlineStr">
        <is>
          <t>calzatura-vilchez/bff/server.cjs:3193; calzatura-vilchez/bff/server.cjs:3226; calzatura-vilchez/bff/server.cjs:3247; calzatura-vilchez/supabase/migrations/20260519150000_harden_admin_rpcs_bff_only.sql:1</t>
        </is>
      </c>
      <c r="E44" s="3" t="inlineStr">
        <is>
          <t>Se verificó que el código implemente y respalde: Proteger información financiera de producto para que costos y márgenes no queden expuestos en el catálogo público ni en escrituras directas del cliente.</t>
        </is>
      </c>
      <c r="F44" s="3" t="inlineStr">
        <is>
          <t>Ruta existente, evidencia trazable, estado implementado y prueba ejecutada.</t>
        </is>
      </c>
      <c r="G44" s="5" t="inlineStr">
        <is>
          <t>Verificado en repositorio</t>
        </is>
      </c>
      <c r="H44" s="3" t="inlineStr">
        <is>
          <t>calzatura-vilchez/bff/server.cjs:3193; calzatura-vilchez/bff/server.cjs:3226; calzatura-vilchez/bff/server.cjs:3247; calzatura-vilchez/supabase/migrations/20260519150000_harden_admin_rpcs_bff_only.sql:1</t>
        </is>
      </c>
      <c r="I44" s="3" t="inlineStr">
        <is>
          <t>Revisión cerrada en VERDE y enlazada a BOLT-WEB-043.</t>
        </is>
      </c>
    </row>
    <row r="45">
      <c r="A45" s="3" t="inlineStr">
        <is>
          <t>RC-044</t>
        </is>
      </c>
      <c r="B45" s="3" t="inlineStr">
        <is>
          <t>RNF-014</t>
        </is>
      </c>
      <c r="C45" s="3" t="inlineStr">
        <is>
          <t>Supabase / Anti-regresión</t>
        </is>
      </c>
      <c r="D45" s="3" t="inlineStr">
        <is>
          <t>calzatura-vilchez/src/__tests__/supabaseDirectAccessGuard.test.js:1; calzatura-vilchez/supabase/RLS-MATRIX.md:9; calzatura-vilchez/supabase/rls-matrix.contract.json:2</t>
        </is>
      </c>
      <c r="E45" s="3" t="inlineStr">
        <is>
          <t>Se verificó que el código implemente y respalde: Impedir que el frontend web reintroduzca escrituras directas a tablas sensibles de Supabase fuera del BFF autorizado.</t>
        </is>
      </c>
      <c r="F45" s="3" t="inlineStr">
        <is>
          <t>Ruta existente, evidencia trazable, estado implementado y prueba ejecutada.</t>
        </is>
      </c>
      <c r="G45" s="5" t="inlineStr">
        <is>
          <t>Verificado en repositorio</t>
        </is>
      </c>
      <c r="H45" s="3" t="inlineStr">
        <is>
          <t>calzatura-vilchez/src/__tests__/supabaseDirectAccessGuard.test.js:1; calzatura-vilchez/supabase/RLS-MATRIX.md:9; calzatura-vilchez/supabase/rls-matrix.contract.json:2</t>
        </is>
      </c>
      <c r="I45" s="3" t="inlineStr">
        <is>
          <t>Revisión cerrada en VERDE y enlazada a BOLT-WEB-044.</t>
        </is>
      </c>
    </row>
    <row r="46">
      <c r="A46" s="3" t="inlineStr">
        <is>
          <t>RC-045</t>
        </is>
      </c>
      <c r="B46" s="3" t="inlineStr">
        <is>
          <t>RNF-015</t>
        </is>
      </c>
      <c r="C46" s="3" t="inlineStr">
        <is>
          <t>Supabase / RLS</t>
        </is>
      </c>
      <c r="D46" s="3" t="inlineStr">
        <is>
          <t>calzatura-vilchez/supabase/RLS-MATRIX.md:1; calzatura-vilchez/supabase/migrations/20260529140000_harden_anon_authenticated_data_plane.sql:2; calzatura-vilchez/supabase/migrations/20260531200000_supabase_security_linter_remediation.sql:51</t>
        </is>
      </c>
      <c r="E46" s="3" t="inlineStr">
        <is>
          <t>Se verificó que el código implemente y respalde: Validar matriz RLS de Supabase para asegurar que tablas, RPC y permisos públicos/autenticados mantengan el modelo de acceso previsto.</t>
        </is>
      </c>
      <c r="F46" s="3" t="inlineStr">
        <is>
          <t>Ruta existente, evidencia trazable, estado implementado y prueba ejecutada.</t>
        </is>
      </c>
      <c r="G46" s="5" t="inlineStr">
        <is>
          <t>Verificado en repositorio</t>
        </is>
      </c>
      <c r="H46" s="3" t="inlineStr">
        <is>
          <t>calzatura-vilchez/supabase/RLS-MATRIX.md:1; calzatura-vilchez/supabase/migrations/20260529140000_harden_anon_authenticated_data_plane.sql:2; calzatura-vilchez/supabase/migrations/20260531200000_supabase_security_linter_remediation.sql:51</t>
        </is>
      </c>
      <c r="I46" s="3" t="inlineStr">
        <is>
          <t>Revisión cerrada en VERDE y enlazada a BOLT-WEB-045.</t>
        </is>
      </c>
    </row>
    <row r="47">
      <c r="A47" s="3" t="inlineStr">
        <is>
          <t>RC-046</t>
        </is>
      </c>
      <c r="B47" s="3" t="inlineStr">
        <is>
          <t>RNF-016</t>
        </is>
      </c>
      <c r="C47" s="3" t="inlineStr">
        <is>
          <t>Auditoría / PII</t>
        </is>
      </c>
      <c r="D47" s="3" t="inlineStr">
        <is>
          <t>calzatura-vilchez/supabase/migrations/20260521130000_redact_historical_auditoria_pii.sql:1; calzatura-vilchez/supabase/migrations/20260530150000_auditoria_pii_enforce_at_insert.sql:2; calzatura-vilchez/src/__tests__/bffAuditEndpointPolicy.test.js:22</t>
        </is>
      </c>
      <c r="E47" s="3" t="inlineStr">
        <is>
          <t>Se verificó que el código implemente y respalde: Redactar PII en auditoría histórica y en inserciones nuevas para evitar exposición de DNI, correos, teléfonos, direcciones y nombres personales.</t>
        </is>
      </c>
      <c r="F47" s="3" t="inlineStr">
        <is>
          <t>Ruta existente, evidencia trazable, estado implementado y prueba ejecutada.</t>
        </is>
      </c>
      <c r="G47" s="5" t="inlineStr">
        <is>
          <t>Verificado en repositorio</t>
        </is>
      </c>
      <c r="H47" s="3" t="inlineStr">
        <is>
          <t>calzatura-vilchez/supabase/migrations/20260521130000_redact_historical_auditoria_pii.sql:1; calzatura-vilchez/supabase/migrations/20260530150000_auditoria_pii_enforce_at_insert.sql:2; calzatura-vilchez/src/__tests__/bffAuditEndpointPolicy.test.js:22</t>
        </is>
      </c>
      <c r="I47" s="3" t="inlineStr">
        <is>
          <t>Revisión cerrada en VERDE y enlazada a BOLT-WEB-046.</t>
        </is>
      </c>
    </row>
    <row r="48">
      <c r="A48" s="3" t="inlineStr">
        <is>
          <t>RC-047</t>
        </is>
      </c>
      <c r="B48" s="3" t="inlineStr">
        <is>
          <t>RF-031</t>
        </is>
      </c>
      <c r="C48" s="3" t="inlineStr">
        <is>
          <t>Pedidos / Estados</t>
        </is>
      </c>
      <c r="D48" s="3" t="inlineStr">
        <is>
          <t>calzatura-vilchez/functions/orderStatusPolicy.js:16; calzatura-vilchez/bff/server.cjs:1811; calzatura-vilchez/bff/server.cjs:2735; calzatura-vilchez/src/__tests__/bffOrderStatusPolicy.test.js:9</t>
        </is>
      </c>
      <c r="E48" s="3" t="inlineStr">
        <is>
          <t>Se verificó que el código implemente y respalde: Mantener una máquina de estados única para pedidos, usada tanto por BFF como por Cloud Functions heredadas, evitando transiciones inválidas.</t>
        </is>
      </c>
      <c r="F48" s="3" t="inlineStr">
        <is>
          <t>Ruta existente, evidencia trazable, estado implementado y prueba ejecutada.</t>
        </is>
      </c>
      <c r="G48" s="5" t="inlineStr">
        <is>
          <t>Verificado en repositorio</t>
        </is>
      </c>
      <c r="H48" s="3" t="inlineStr">
        <is>
          <t>calzatura-vilchez/functions/orderStatusPolicy.js:16; calzatura-vilchez/bff/server.cjs:1811; calzatura-vilchez/bff/server.cjs:2735; calzatura-vilchez/src/__tests__/bffOrderStatusPolicy.test.js:9</t>
        </is>
      </c>
      <c r="I48" s="3" t="inlineStr">
        <is>
          <t>Revisión cerrada en VERDE y enlazada a BOLT-WEB-047.</t>
        </is>
      </c>
    </row>
    <row r="49">
      <c r="A49" s="3" t="inlineStr">
        <is>
          <t>RC-048</t>
        </is>
      </c>
      <c r="B49" s="3" t="inlineStr">
        <is>
          <t>RNF-017</t>
        </is>
      </c>
      <c r="C49" s="3" t="inlineStr">
        <is>
          <t>BFF / Rate limit</t>
        </is>
      </c>
      <c r="D49" s="3" t="inlineStr">
        <is>
          <t>calzatura-vilchez/bff/publicRateLimit.cjs:7; calzatura-vilchez/bff/publicRateLimit.cjs:76; calzatura-vilchez/bff/clientIp.cjs:17; calzatura-vilchez/bff/server.cjs:1500</t>
        </is>
      </c>
      <c r="E49" s="3" t="inlineStr">
        <is>
          <t>Se verificó que el código implemente y respalde: Aplicar rate limiting e identificación de IP de cliente para reducir abuso en endpoints públicos como login, DNI, catálogo y cotización de entrega.</t>
        </is>
      </c>
      <c r="F49" s="3" t="inlineStr">
        <is>
          <t>Ruta existente, evidencia trazable, estado implementado y prueba ejecutada.</t>
        </is>
      </c>
      <c r="G49" s="5" t="inlineStr">
        <is>
          <t>Verificado en repositorio</t>
        </is>
      </c>
      <c r="H49" s="3" t="inlineStr">
        <is>
          <t>calzatura-vilchez/bff/publicRateLimit.cjs:7; calzatura-vilchez/bff/publicRateLimit.cjs:76; calzatura-vilchez/bff/clientIp.cjs:17; calzatura-vilchez/bff/server.cjs:1500</t>
        </is>
      </c>
      <c r="I49" s="3" t="inlineStr">
        <is>
          <t>Revisión cerrada en VERDE y enlazada a BOLT-WEB-048.</t>
        </is>
      </c>
    </row>
    <row r="50">
      <c r="A50" s="3" t="inlineStr">
        <is>
          <t>RC-049</t>
        </is>
      </c>
      <c r="B50" s="3" t="inlineStr">
        <is>
          <t>RF-032</t>
        </is>
      </c>
      <c r="C50" s="3" t="inlineStr">
        <is>
          <t>Trabajador / Ventas</t>
        </is>
      </c>
      <c r="D50" s="3" t="inlineStr">
        <is>
          <t>calzatura-vilchez/src/domains/trabajadores/pages/StaffSales.tsx:4; calzatura-vilchez/src/domains/trabajadores/components/StaffLayout.tsx:10; calzatura-vilchez/bff/server.cjs:2092; calzatura-vilchez/e2e/admin-sales.spec.ts:143</t>
        </is>
      </c>
      <c r="E50" s="3" t="inlineStr">
        <is>
          <t>Se verificó que el código implemente y respalde: Permitir ventas físicas al trabajador con panel acotado, validación de stock por talla y registro atómico de venta.</t>
        </is>
      </c>
      <c r="F50" s="3" t="inlineStr">
        <is>
          <t>Ruta existente, evidencia trazable, estado implementado y prueba ejecutada.</t>
        </is>
      </c>
      <c r="G50" s="5" t="inlineStr">
        <is>
          <t>Verificado en repositorio</t>
        </is>
      </c>
      <c r="H50" s="3" t="inlineStr">
        <is>
          <t>calzatura-vilchez/src/domains/trabajadores/pages/StaffSales.tsx:4; calzatura-vilchez/src/domains/trabajadores/components/StaffLayout.tsx:10; calzatura-vilchez/bff/server.cjs:2092; calzatura-vilchez/e2e/admin-sales.spec.ts:143</t>
        </is>
      </c>
      <c r="I50" s="3" t="inlineStr">
        <is>
          <t>Revisión cerrada en VERDE y enlazada a BOLT-WEB-049.</t>
        </is>
      </c>
    </row>
    <row r="51">
      <c r="A51" s="3" t="inlineStr">
        <is>
          <t>RC-050</t>
        </is>
      </c>
      <c r="B51" s="3" t="inlineStr">
        <is>
          <t>RF-033</t>
        </is>
      </c>
      <c r="C51" s="3" t="inlineStr">
        <is>
          <t>Público / Registro</t>
        </is>
      </c>
      <c r="D51" s="3" t="inlineStr">
        <is>
          <t>calzatura-vilchez/src/domains/publico/pages/Register.tsx:15; calzatura-vilchez/src/domains/publico/pages/registerFormValidation.ts:30; calzatura-vilchez/src/domains/usuarios/services/dni.ts:26; calzatura-vilchez/bff/server.cjs:1500</t>
        </is>
      </c>
      <c r="E51" s="3" t="inlineStr">
        <is>
          <t>Se verificó que el código implemente y respalde: Registrar usuarios con validaciones de DNI, correo, celular, contraseña y confirmación, mostrando errores accesibles por campo.</t>
        </is>
      </c>
      <c r="F51" s="3" t="inlineStr">
        <is>
          <t>Ruta existente, evidencia trazable, estado implementado y prueba ejecutada.</t>
        </is>
      </c>
      <c r="G51" s="5" t="inlineStr">
        <is>
          <t>Verificado en repositorio</t>
        </is>
      </c>
      <c r="H51" s="3" t="inlineStr">
        <is>
          <t>calzatura-vilchez/src/domains/publico/pages/Register.tsx:15; calzatura-vilchez/src/domains/publico/pages/registerFormValidation.ts:30; calzatura-vilchez/src/domains/usuarios/services/dni.ts:26; calzatura-vilchez/bff/server.cjs:1500</t>
        </is>
      </c>
      <c r="I51" s="3" t="inlineStr">
        <is>
          <t>Revisión cerrada en VERDE y enlazada a BOLT-WEB-050.</t>
        </is>
      </c>
    </row>
    <row r="52">
      <c r="A52" s="3" t="inlineStr">
        <is>
          <t>RC-051</t>
        </is>
      </c>
      <c r="B52" s="3" t="inlineStr">
        <is>
          <t>RNF-018</t>
        </is>
      </c>
      <c r="C52" s="3" t="inlineStr">
        <is>
          <t>Firebase / App Check</t>
        </is>
      </c>
      <c r="D52" s="3" t="inlineStr">
        <is>
          <t>calzatura-vilchez/bff/server.cjs:67; calzatura-vilchez/bff/server.cjs:1500; scripts/verify-deploy-firebase-secrets.mjs:1; calzatura-vilchez/bff/env.example:83</t>
        </is>
      </c>
      <c r="E52" s="3" t="inlineStr">
        <is>
          <t>Se verificó que el código implemente y respalde: Validar App Check y reCAPTCHA en producción para proteger endpoints de identidad sin subir secretos privados al frontend.</t>
        </is>
      </c>
      <c r="F52" s="3" t="inlineStr">
        <is>
          <t>Ruta existente, evidencia trazable, estado implementado y prueba ejecutada.</t>
        </is>
      </c>
      <c r="G52" s="5" t="inlineStr">
        <is>
          <t>Verificado en repositorio</t>
        </is>
      </c>
      <c r="H52" s="3" t="inlineStr">
        <is>
          <t>calzatura-vilchez/bff/server.cjs:67; calzatura-vilchez/bff/server.cjs:1500; scripts/verify-deploy-firebase-secrets.mjs:1; calzatura-vilchez/bff/env.example:83</t>
        </is>
      </c>
      <c r="I52" s="3" t="inlineStr">
        <is>
          <t>Revisión cerrada en VERDE y enlazada a BOLT-WEB-051.</t>
        </is>
      </c>
    </row>
    <row r="53">
      <c r="A53" s="3" t="inlineStr">
        <is>
          <t>RC-052</t>
        </is>
      </c>
      <c r="B53" s="3" t="inlineStr">
        <is>
          <t>RNF-019</t>
        </is>
      </c>
      <c r="C53" s="3" t="inlineStr">
        <is>
          <t>DevOps / Continuidad</t>
        </is>
      </c>
      <c r="D53" s="3" t="inlineStr">
        <is>
          <t>.github/workflows/ops-controls.yml:1; artifacts/restore-drill/local-test.json:1; docs/ops/readiness.sample.json:1</t>
        </is>
      </c>
      <c r="E53" s="3" t="inlineStr">
        <is>
          <t>Se verificó que el código implemente y respalde: Ejecutar controles de continuidad operativa con readiness checks, restore drill versionado y evidencia de recuperación.</t>
        </is>
      </c>
      <c r="F53" s="3" t="inlineStr">
        <is>
          <t>Ruta existente, evidencia trazable, estado implementado y prueba ejecutada.</t>
        </is>
      </c>
      <c r="G53" s="5" t="inlineStr">
        <is>
          <t>Verificado en repositorio</t>
        </is>
      </c>
      <c r="H53" s="3" t="inlineStr">
        <is>
          <t>.github/workflows/ops-controls.yml:1; artifacts/restore-drill/local-test.json:1; docs/ops/readiness.sample.json:1</t>
        </is>
      </c>
      <c r="I53" s="3" t="inlineStr">
        <is>
          <t>Revisión cerrada en VERDE y enlazada a BOLT-WEB-052.</t>
        </is>
      </c>
    </row>
    <row r="54">
      <c r="A54" s="3" t="inlineStr">
        <is>
          <t>RC-053</t>
        </is>
      </c>
      <c r="B54" s="3" t="inlineStr">
        <is>
          <t>RNF-020</t>
        </is>
      </c>
      <c r="C54" s="3" t="inlineStr">
        <is>
          <t>IA / Gobierno de modelo</t>
        </is>
      </c>
      <c r="D54" s="3" t="inlineStr">
        <is>
          <t>calzatura-vilchez/src/domains/administradores/pages/AdminPredictions.tsx:5; calzatura-vilchez/src/domains/administradores/predictions/AdminPredictionsDashboardTabs.tsx:425; scripts/ai-backtest-gate.mjs:1; ai-service/scripts/generate_sonar_generic_coverage.py:1</t>
        </is>
      </c>
      <c r="E54" s="3" t="inlineStr">
        <is>
          <t>Se verificó que el código implemente y respalde: Controlar backtesting, suficiencia de datos, reporte de calidad y métricas de predicción para que la IA sea auditable.</t>
        </is>
      </c>
      <c r="F54" s="3" t="inlineStr">
        <is>
          <t>Ruta existente, evidencia trazable, estado implementado y prueba ejecutada.</t>
        </is>
      </c>
      <c r="G54" s="5" t="inlineStr">
        <is>
          <t>Verificado en repositorio</t>
        </is>
      </c>
      <c r="H54" s="3" t="inlineStr">
        <is>
          <t>calzatura-vilchez/src/domains/administradores/pages/AdminPredictions.tsx:5; calzatura-vilchez/src/domains/administradores/predictions/AdminPredictionsDashboardTabs.tsx:425; scripts/ai-backtest-gate.mjs:1; ai-service/scripts/generate_sonar_generic_coverage.py:1</t>
        </is>
      </c>
      <c r="I54" s="3" t="inlineStr">
        <is>
          <t>Revisión cerrada en VERDE y enlazada a BOLT-WEB-053.</t>
        </is>
      </c>
    </row>
    <row r="55">
      <c r="A55" s="3" t="inlineStr">
        <is>
          <t>RC-054</t>
        </is>
      </c>
      <c r="B55" s="3" t="inlineStr">
        <is>
          <t>RNF-021</t>
        </is>
      </c>
      <c r="C55" s="3" t="inlineStr">
        <is>
          <t>Calidad / Sonar</t>
        </is>
      </c>
      <c r="D55" s="3" t="inlineStr">
        <is>
          <t>calzatura-vilchez/package.json:12; calzatura-vilchez/scripts/sonar-preflight.mjs:4; sonar-project.properties:1; calzatura-vilchez/scripts/fix-lcov-for-sonar.mjs:1</t>
        </is>
      </c>
      <c r="E55" s="3" t="inlineStr">
        <is>
          <t>Se verificó que el código implemente y respalde: Mantener calidad estática mediante ESLint, TypeScript, Sonar preflight, cobertura y correcciones de smells críticos antes de desplegar.</t>
        </is>
      </c>
      <c r="F55" s="3" t="inlineStr">
        <is>
          <t>Ruta existente, evidencia trazable, estado implementado y prueba ejecutada.</t>
        </is>
      </c>
      <c r="G55" s="5" t="inlineStr">
        <is>
          <t>Verificado en repositorio</t>
        </is>
      </c>
      <c r="H55" s="3" t="inlineStr">
        <is>
          <t>calzatura-vilchez/package.json:12; calzatura-vilchez/scripts/sonar-preflight.mjs:4; sonar-project.properties:1; calzatura-vilchez/scripts/fix-lcov-for-sonar.mjs:1</t>
        </is>
      </c>
      <c r="I55" s="3" t="inlineStr">
        <is>
          <t>Revisión cerrada en VERDE y enlazada a BOLT-WEB-054.</t>
        </is>
      </c>
    </row>
    <row r="56">
      <c r="A56" s="3" t="inlineStr">
        <is>
          <t>RC-055</t>
        </is>
      </c>
      <c r="B56" s="3" t="inlineStr">
        <is>
          <t>RF-034</t>
        </is>
      </c>
      <c r="C56" s="3" t="inlineStr">
        <is>
          <t>Público / Campañas</t>
        </is>
      </c>
      <c r="D56" s="3" t="inlineStr">
        <is>
          <t>calzatura-vilchez/src/domains/publico/pages/CyberWowLandingPage.tsx:7; calzatura-vilchez/src/domains/publico/pages/ClubCalzadoLandingPage.tsx:6; calzatura-vilchez/src/domains/productos/components/ProductsPageCampaignSection.tsx:1; calzatura-vilchez/e2e/campaign-landings.spec.ts:4</t>
        </is>
      </c>
      <c r="E56" s="3" t="inlineStr">
        <is>
          <t>Se verificó que el código implemente y respalde: Administrar landings de campaña, carruseles y estanterías promocionales para Cyber Wow, Club Calzado, outlet y nueva temporada.</t>
        </is>
      </c>
      <c r="F56" s="3" t="inlineStr">
        <is>
          <t>Ruta existente, evidencia trazable, estado implementado y prueba ejecutada.</t>
        </is>
      </c>
      <c r="G56" s="5" t="inlineStr">
        <is>
          <t>Verificado en repositorio</t>
        </is>
      </c>
      <c r="H56" s="3" t="inlineStr">
        <is>
          <t>calzatura-vilchez/src/domains/publico/pages/CyberWowLandingPage.tsx:7; calzatura-vilchez/src/domains/publico/pages/ClubCalzadoLandingPage.tsx:6; calzatura-vilchez/src/domains/productos/components/ProductsPageCampaignSection.tsx:1; calzatura-vilchez/e2e/campaign-landings.spec.ts:4</t>
        </is>
      </c>
      <c r="I56" s="3" t="inlineStr">
        <is>
          <t>Revisión cerrada en VERDE y enlazada a BOLT-WEB-055.</t>
        </is>
      </c>
    </row>
  </sheetData>
  <autoFilter ref="A1:I5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  <col width="60" customWidth="1" min="3" max="3"/>
  </cols>
  <sheetData>
    <row r="1">
      <c r="A1" s="1" t="inlineStr">
        <is>
          <t>Código</t>
        </is>
      </c>
      <c r="B1" s="1" t="inlineStr">
        <is>
          <t>Referencia ISO 690-2 / norma</t>
        </is>
      </c>
      <c r="C1" s="1" t="inlineStr">
        <is>
          <t>Uso en la matriz</t>
        </is>
      </c>
    </row>
    <row r="2">
      <c r="A2" s="3" t="inlineStr">
        <is>
          <t>[01]</t>
        </is>
      </c>
      <c r="B2" s="3" t="inlineStr">
        <is>
          <t>ISO/IEC 25010:2023. Systems and software engineering — Systems and software Quality Requirements and Evaluation (SQuaRE) — Product quality model.</t>
        </is>
      </c>
      <c r="C2" s="3" t="inlineStr">
        <is>
          <t>Calidad del producto: funcionalidad, fiabilidad, rendimiento, usabilidad, seguridad, mantenibilidad y portabilidad.</t>
        </is>
      </c>
    </row>
    <row r="3">
      <c r="A3" s="3" t="inlineStr">
        <is>
          <t>[02]</t>
        </is>
      </c>
      <c r="B3" s="3" t="inlineStr">
        <is>
          <t>ISO/IEC 27001:2022. Information security, cybersecurity and privacy protection — Information security management systems — Requirements.</t>
        </is>
      </c>
      <c r="C3" s="3" t="inlineStr">
        <is>
          <t>Controles de seguridad, autenticación, autorización, secretos, auditoría y protección del BFF.</t>
        </is>
      </c>
    </row>
    <row r="4">
      <c r="A4" s="3" t="inlineStr">
        <is>
          <t>[03]</t>
        </is>
      </c>
      <c r="B4" s="3" t="inlineStr">
        <is>
          <t>ISO/IEC 27701:2019. Security techniques — Extension to ISO/IEC 27001 and ISO/IEC 27002 for privacy information management.</t>
        </is>
      </c>
      <c r="C4" s="3" t="inlineStr">
        <is>
          <t>Privacidad, PII, DNI, correo, teléfono, redacción y minimización de datos personales.</t>
        </is>
      </c>
    </row>
    <row r="5">
      <c r="A5" s="3" t="inlineStr">
        <is>
          <t>[04]</t>
        </is>
      </c>
      <c r="B5" s="3" t="inlineStr">
        <is>
          <t>ISO/IEC 25012:2008. Software engineering — SQuaRE — Data quality model.</t>
        </is>
      </c>
      <c r="C5" s="3" t="inlineStr">
        <is>
          <t>Calidad de datos de productos, Excel, ventas, pedidos, IA y consistencia de catálogo.</t>
        </is>
      </c>
    </row>
    <row r="6">
      <c r="A6" s="3" t="inlineStr">
        <is>
          <t>[05]</t>
        </is>
      </c>
      <c r="B6" s="3" t="inlineStr">
        <is>
          <t>ISO/IEC/IEEE 29119. Software and systems engineering — Software testing.</t>
        </is>
      </c>
      <c r="C6" s="3" t="inlineStr">
        <is>
          <t>Casos de prueba, E2E, unitarias, integración, seguridad dinámica y evidencia de validación.</t>
        </is>
      </c>
    </row>
    <row r="7">
      <c r="A7" s="3" t="inlineStr">
        <is>
          <t>[06]</t>
        </is>
      </c>
      <c r="B7" s="3" t="inlineStr">
        <is>
          <t>ISO/IEC 42001:2023. Information technology — Artificial intelligence — Management system.</t>
        </is>
      </c>
      <c r="C7" s="3" t="inlineStr">
        <is>
          <t>Gobierno del módulo IA, backtesting, suficiencia de datos, métricas e IRE.</t>
        </is>
      </c>
    </row>
    <row r="8">
      <c r="A8" s="3" t="inlineStr">
        <is>
          <t>[07]</t>
        </is>
      </c>
      <c r="B8" s="3" t="inlineStr">
        <is>
          <t>ISO 22301:2019. Security and resilience — Business continuity management systems — Requirements.</t>
        </is>
      </c>
      <c r="C8" s="3" t="inlineStr">
        <is>
          <t>Continuidad, restore drill, readiness y operación post despliegue.</t>
        </is>
      </c>
    </row>
    <row r="9">
      <c r="A9" s="3" t="inlineStr">
        <is>
          <t>[08]</t>
        </is>
      </c>
      <c r="B9" s="3" t="inlineStr">
        <is>
          <t>VERHOEF, Peter C.; et al. Digital transformation: A multidisciplinary reflection and research agenda. Journal of Business Research, 2021.</t>
        </is>
      </c>
      <c r="C9" s="3" t="inlineStr">
        <is>
          <t>Transformación digital y justificación del sistema web para PYME.</t>
        </is>
      </c>
    </row>
    <row r="10">
      <c r="A10" s="3" t="inlineStr">
        <is>
          <t>[09]</t>
        </is>
      </c>
      <c r="B10" s="3" t="inlineStr">
        <is>
          <t>KANNAN, P. K. Digital marketing: A framework, review and research agenda. International Journal of Research in Marketing, 2017.</t>
        </is>
      </c>
      <c r="C10" s="3" t="inlineStr">
        <is>
          <t>Catálogo, carrito, checkout, campañas y analítica comercial.</t>
        </is>
      </c>
    </row>
    <row r="11">
      <c r="A11" s="3" t="inlineStr">
        <is>
          <t>[10]</t>
        </is>
      </c>
      <c r="B11" s="3" t="inlineStr">
        <is>
          <t>DUAN, Yanqing; EDWARDS, John S.; DWIVEDI, Yogesh K. Artificial intelligence for decision making in the era of Big Data. International Journal of Information Management, 2019.</t>
        </is>
      </c>
      <c r="C11" s="3" t="inlineStr">
        <is>
          <t>IA como apoyo a decisiones empresariales.</t>
        </is>
      </c>
    </row>
    <row r="12">
      <c r="A12" s="3" t="inlineStr">
        <is>
          <t>[11]</t>
        </is>
      </c>
      <c r="B12" s="3" t="inlineStr">
        <is>
          <t>FILDES, Robert; MA, Shaohui; KOLASSA, Stephan. Retail forecasting: Research and practice. International Journal of Forecasting, 2022.</t>
        </is>
      </c>
      <c r="C12" s="3" t="inlineStr">
        <is>
          <t>Predicción de demanda y control de series de ventas.</t>
        </is>
      </c>
    </row>
    <row r="13">
      <c r="A13" s="3" t="inlineStr">
        <is>
          <t>[12]</t>
        </is>
      </c>
      <c r="B13" s="3" t="inlineStr">
        <is>
          <t>ALTMAN, Edward I. Financial ratios, discriminant analysis and the prediction of corporate bankruptcy. Journal of Finance, 1968.</t>
        </is>
      </c>
      <c r="C13" s="3" t="inlineStr">
        <is>
          <t>Fundamento de riesgo empresarial y variables financieras.</t>
        </is>
      </c>
    </row>
  </sheetData>
  <autoFilter ref="A1:C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s="1" t="inlineStr">
        <is>
          <t>Categoría</t>
        </is>
      </c>
      <c r="B1" s="1" t="inlineStr">
        <is>
          <t>Valor</t>
        </is>
      </c>
    </row>
    <row r="2">
      <c r="A2" s="3" t="inlineStr">
        <is>
          <t>Tipo requisito</t>
        </is>
      </c>
      <c r="B2" s="3" t="inlineStr">
        <is>
          <t>Funcional</t>
        </is>
      </c>
    </row>
    <row r="3">
      <c r="A3" s="3" t="inlineStr">
        <is>
          <t>Tipo requisito</t>
        </is>
      </c>
      <c r="B3" s="3" t="inlineStr">
        <is>
          <t>No funcional</t>
        </is>
      </c>
    </row>
    <row r="4">
      <c r="A4" s="3" t="inlineStr">
        <is>
          <t>Prioridad</t>
        </is>
      </c>
      <c r="B4" s="3" t="inlineStr">
        <is>
          <t>Alta</t>
        </is>
      </c>
    </row>
    <row r="5">
      <c r="A5" s="3" t="inlineStr">
        <is>
          <t>Prioridad</t>
        </is>
      </c>
      <c r="B5" s="3" t="inlineStr">
        <is>
          <t>Media</t>
        </is>
      </c>
    </row>
    <row r="6">
      <c r="A6" s="3" t="inlineStr">
        <is>
          <t>Prioridad</t>
        </is>
      </c>
      <c r="B6" s="3" t="inlineStr">
        <is>
          <t>Baja</t>
        </is>
      </c>
    </row>
    <row r="7">
      <c r="A7" s="3" t="inlineStr">
        <is>
          <t>Estado implementación</t>
        </is>
      </c>
      <c r="B7" s="3" t="inlineStr">
        <is>
          <t>Implementado</t>
        </is>
      </c>
    </row>
    <row r="8">
      <c r="A8" s="3" t="inlineStr">
        <is>
          <t>Estado prueba</t>
        </is>
      </c>
      <c r="B8" s="3" t="inlineStr">
        <is>
          <t>Ejecutado</t>
        </is>
      </c>
    </row>
    <row r="9">
      <c r="A9" s="3" t="inlineStr">
        <is>
          <t>Estado revisión</t>
        </is>
      </c>
      <c r="B9" s="3" t="inlineStr">
        <is>
          <t>Verificado en repositorio</t>
        </is>
      </c>
    </row>
    <row r="10">
      <c r="A10" s="3" t="inlineStr">
        <is>
          <t>Tipo prueba</t>
        </is>
      </c>
      <c r="B10" s="3" t="inlineStr">
        <is>
          <t>Caja negra / integración</t>
        </is>
      </c>
    </row>
    <row r="11">
      <c r="A11" s="3" t="inlineStr">
        <is>
          <t>Tipo prueba</t>
        </is>
      </c>
      <c r="B11" s="3" t="inlineStr">
        <is>
          <t>Caja negra / validación</t>
        </is>
      </c>
    </row>
    <row r="12">
      <c r="A12" s="3" t="inlineStr">
        <is>
          <t>Tipo prueba</t>
        </is>
      </c>
      <c r="B12" s="3" t="inlineStr">
        <is>
          <t>Integración / seguridad</t>
        </is>
      </c>
    </row>
    <row r="13">
      <c r="A13" s="3" t="inlineStr">
        <is>
          <t>Tipo prueba</t>
        </is>
      </c>
      <c r="B13" s="3" t="inlineStr">
        <is>
          <t>Modelo IA / integración</t>
        </is>
      </c>
    </row>
    <row r="14">
      <c r="A14" s="3" t="inlineStr">
        <is>
          <t>Tipo prueba</t>
        </is>
      </c>
      <c r="B14" s="3" t="inlineStr">
        <is>
          <t>Caja blanca / integración</t>
        </is>
      </c>
    </row>
    <row r="15">
      <c r="A15" s="3" t="inlineStr">
        <is>
          <t>Tipo prueba</t>
        </is>
      </c>
      <c r="B15" s="3" t="inlineStr">
        <is>
          <t>Caja blanca / calidad</t>
        </is>
      </c>
    </row>
    <row r="16">
      <c r="A16" s="3" t="inlineStr">
        <is>
          <t>Objetivo tesis</t>
        </is>
      </c>
      <c r="B16" s="3" t="inlineStr">
        <is>
          <t>OE1</t>
        </is>
      </c>
    </row>
    <row r="17">
      <c r="A17" s="3" t="inlineStr">
        <is>
          <t>Objetivo tesis</t>
        </is>
      </c>
      <c r="B17" s="3" t="inlineStr">
        <is>
          <t>OE2</t>
        </is>
      </c>
    </row>
    <row r="18">
      <c r="A18" s="3" t="inlineStr">
        <is>
          <t>Objetivo tesis</t>
        </is>
      </c>
      <c r="B18" s="3" t="inlineStr">
        <is>
          <t>OE3</t>
        </is>
      </c>
    </row>
    <row r="19">
      <c r="A19" s="3" t="inlineStr">
        <is>
          <t>Objetivo tesis</t>
        </is>
      </c>
      <c r="B19" s="3" t="inlineStr">
        <is>
          <t>OE4</t>
        </is>
      </c>
    </row>
    <row r="20">
      <c r="A20" s="3" t="inlineStr">
        <is>
          <t>Semáforo</t>
        </is>
      </c>
      <c r="B20" s="3" t="inlineStr">
        <is>
          <t>VERDE</t>
        </is>
      </c>
    </row>
    <row r="21">
      <c r="A21" s="3" t="inlineStr">
        <is>
          <t>Semáforo</t>
        </is>
      </c>
      <c r="B21" s="3" t="inlineStr">
        <is>
          <t>APTO</t>
        </is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2026-05-30T21:12:11Z</dcterms:created>
  <dcterms:modified xmlns:dcterms="http://purl.org/dc/terms/" xmlns:xsi="http://www.w3.org/2001/XMLSchema-instance" xsi:type="dcterms:W3CDTF">2026-05-30T21:12:11Z</dcterms:modified>
</cp:coreProperties>
</file>