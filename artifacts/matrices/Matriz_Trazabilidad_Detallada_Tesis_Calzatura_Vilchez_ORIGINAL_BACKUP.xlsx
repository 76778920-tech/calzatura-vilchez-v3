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21dddde4d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2d6e47b9114c44"/>
    <x:sheet xmlns:r="http://schemas.openxmlformats.org/officeDocument/2006/relationships" name="RTM_Detallada" sheetId="2" r:id="R46f25cbe89c3416d"/>
    <x:sheet xmlns:r="http://schemas.openxmlformats.org/officeDocument/2006/relationships" name="Procesos_42" sheetId="3" r:id="Rfce55538dee344f1"/>
    <x:sheet xmlns:r="http://schemas.openxmlformats.org/officeDocument/2006/relationships" name="Casos_Uso" sheetId="4" r:id="R0189636196a94b08"/>
    <x:sheet xmlns:r="http://schemas.openxmlformats.org/officeDocument/2006/relationships" name="Casos_Prueba" sheetId="5" r:id="R897557f79f0f4a16"/>
    <x:sheet xmlns:r="http://schemas.openxmlformats.org/officeDocument/2006/relationships" name="Auditoria_Codigo" sheetId="6" r:id="R4219c7428f064f35"/>
    <x:sheet xmlns:r="http://schemas.openxmlformats.org/officeDocument/2006/relationships" name="Referencias_ISO690_2" sheetId="7" r:id="Rd983c4fc3a2445a5"/>
    <x:sheet xmlns:r="http://schemas.openxmlformats.org/officeDocument/2006/relationships" name="Catalogos" sheetId="8" r:id="R574816a74342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5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top>
        <x:color rgb="D9E2F3"/>
      </x:top>
      <x:bottom>
        <x:color rgb="A6A6A6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A6A6A6"/>
      </x:bottom>
    </x:border>
    <x:border>
      <x:left>
        <x:color rgb="D9E2F3"/>
      </x:left>
      <x:top>
        <x:color rgb="D9E2F3"/>
      </x:top>
      <x:bottom>
        <x:color rgb="A6A6A6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1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F7"/>
        </x:patternFill>
      </x:fill>
    </x:dxf>
    <x:dxf>
      <x:font>
        <x:b/>
      </x:font>
      <x:fill>
        <x:patternFill patternType="solid">
          <x:bgColor rgb="F8CBAD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ont>
        <x:b/>
        <x:color rgb="9C0006"/>
      </x:font>
      <x:fill>
        <x:patternFill patternType="solid">
          <x:bgColor rgb="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8068a8bef42ab" /><Relationship Type="http://schemas.openxmlformats.org/officeDocument/2006/relationships/theme" Target="/xl/theme/theme1.xml" Id="R700267b811fa499e" /><Relationship Type="http://schemas.openxmlformats.org/officeDocument/2006/relationships/sharedStrings" Target="/xl/sharedStrings.xml" Id="Rf6a4e071162f42bc" /><Relationship Type="http://schemas.openxmlformats.org/officeDocument/2006/relationships/worksheet" Target="/xl/worksheets/sheet1.xml" Id="Rb82d6e47b9114c44" /><Relationship Type="http://schemas.openxmlformats.org/officeDocument/2006/relationships/worksheet" Target="/xl/worksheets/sheet2.xml" Id="R46f25cbe89c3416d" /><Relationship Type="http://schemas.openxmlformats.org/officeDocument/2006/relationships/worksheet" Target="/xl/worksheets/sheet3.xml" Id="Rfce55538dee344f1" /><Relationship Type="http://schemas.openxmlformats.org/officeDocument/2006/relationships/worksheet" Target="/xl/worksheets/sheet4.xml" Id="R0189636196a94b08" /><Relationship Type="http://schemas.openxmlformats.org/officeDocument/2006/relationships/worksheet" Target="/xl/worksheets/sheet5.xml" Id="R897557f79f0f4a16" /><Relationship Type="http://schemas.openxmlformats.org/officeDocument/2006/relationships/worksheet" Target="/xl/worksheets/sheet6.xml" Id="R4219c7428f064f35" /><Relationship Type="http://schemas.openxmlformats.org/officeDocument/2006/relationships/worksheet" Target="/xl/worksheets/sheet7.xml" Id="Rd983c4fc3a2445a5" /><Relationship Type="http://schemas.openxmlformats.org/officeDocument/2006/relationships/worksheet" Target="/xl/worksheets/sheet8.xml" Id="R574816a743424b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4f6416baf4461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'Dashboard'!$J$5:$J$7</c:f>
              <c:strCache>
                <c:ptCount val="0"/>
              </c:strCache>
            </c:strRef>
          </c:cat>
          <c:val>
            <c:numRef>
              <c:f>'Dashboard'!$K$5:$K$7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4f6416baf446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_RTM_Detallada" displayName="Tabla_RTM_Detallada" ref="A1:X57" headerRowCount="1">
  <x:tableColumns count="24">
    <x:tableColumn id="1" name="ID requisito"/>
    <x:tableColumn id="2" name="Tipo"/>
    <x:tableColumn id="3" name="Macroproceso"/>
    <x:tableColumn id="4" name="Proceso relacionado"/>
    <x:tableColumn id="5" name="Descripción del requisito"/>
    <x:tableColumn id="6" name="Actor/Responsable"/>
    <x:tableColumn id="7" name="Prioridad"/>
    <x:tableColumn id="8" name="Objetivo tesis"/>
    <x:tableColumn id="9" name="Caso de uso"/>
    <x:tableColumn id="10" name="Componente/Pantalla"/>
    <x:tableColumn id="11" name="Archivo o servicio técnico esperado"/>
    <x:tableColumn id="12" name="Tablas BD relacionadas"/>
    <x:tableColumn id="13" name="Endpoint/Servicio"/>
    <x:tableColumn id="14" name="Caso de prueba"/>
    <x:tableColumn id="15" name="Tipo de prueba"/>
    <x:tableColumn id="16" name="Datos de entrada"/>
    <x:tableColumn id="17" name="Resultado esperado"/>
    <x:tableColumn id="18" name="Evidencia mínima"/>
    <x:tableColumn id="19" name="Estado implementación"/>
    <x:tableColumn id="20" name="Estado prueba"/>
    <x:tableColumn id="21" name="Criterio de aceptación"/>
    <x:tableColumn id="22" name="Observación técnica"/>
    <x:tableColumn id="23" name="Riesgo si falla"/>
    <x:tableColumn id="24" name="Sustento ISO 690-2"/>
  </x:tableColumns>
  <x:tableStyleInfo name="TableStyleMedium2" showRowStripes="1"/>
</x:table>
</file>

<file path=xl/tables/table2.xml><?xml version="1.0" encoding="utf-8"?>
<x:table xmlns:x="http://schemas.openxmlformats.org/spreadsheetml/2006/main" id="2" name="Tabla_Procesos_42" displayName="Tabla_Procesos_42" ref="A1:I43" headerRowCount="1">
  <x:tableColumns count="9">
    <x:tableColumn id="1" name="Código proceso"/>
    <x:tableColumn id="2" name="Código macroproceso"/>
    <x:tableColumn id="3" name="Macroproceso"/>
    <x:tableColumn id="4" name="Proceso identificado"/>
    <x:tableColumn id="5" name="Tipo de proceso"/>
    <x:tableColumn id="6" name="Sistematización"/>
    <x:tableColumn id="7" name="Requisito asociado"/>
    <x:tableColumn id="8" name="Prioridad"/>
    <x:tableColumn id="9" name="Justificación de sistematización"/>
  </x:tableColumns>
  <x:tableStyleInfo name="TableStyleMedium2" showRowStripes="1"/>
</x:table>
</file>

<file path=xl/tables/table3.xml><?xml version="1.0" encoding="utf-8"?>
<x:table xmlns:x="http://schemas.openxmlformats.org/spreadsheetml/2006/main" id="3" name="Tabla_Casos_Uso" displayName="Tabla_Casos_Uso" ref="A1:I57" headerRowCount="1">
  <x:tableColumns count="9">
    <x:tableColumn id="1" name="Caso de uso"/>
    <x:tableColumn id="2" name="Nombre"/>
    <x:tableColumn id="3" name="Actor principal"/>
    <x:tableColumn id="4" name="Requisitos cubiertos"/>
    <x:tableColumn id="5" name="Precondición"/>
    <x:tableColumn id="6" name="Flujo principal resumido"/>
    <x:tableColumn id="7" name="Flujo alternativo"/>
    <x:tableColumn id="8" name="Postcondición"/>
    <x:tableColumn id="9" name="Evidencia esperada"/>
  </x:tableColumns>
  <x:tableStyleInfo name="TableStyleMedium2" showRowStripes="1"/>
</x:table>
</file>

<file path=xl/tables/table4.xml><?xml version="1.0" encoding="utf-8"?>
<x:table xmlns:x="http://schemas.openxmlformats.org/spreadsheetml/2006/main" id="4" name="Tabla_Casos_Prueba" displayName="Tabla_Casos_Prueba" ref="A1:K57" headerRowCount="1">
  <x:tableColumns count="11">
    <x:tableColumn id="1" name="Caso prueba"/>
    <x:tableColumn id="2" name="Requisito"/>
    <x:tableColumn id="3" name="Módulo/Componente"/>
    <x:tableColumn id="4" name="Tipo prueba"/>
    <x:tableColumn id="5" name="Datos de entrada"/>
    <x:tableColumn id="6" name="Pasos de ejecución"/>
    <x:tableColumn id="7" name="Resultado esperado"/>
    <x:tableColumn id="8" name="Resultado obtenido"/>
    <x:tableColumn id="9" name="Estado prueba"/>
    <x:tableColumn id="10" name="Evidencia"/>
    <x:tableColumn id="11" name="Observación de cierre"/>
  </x:tableColumns>
  <x:tableStyleInfo name="TableStyleMedium2" showRowStripes="1"/>
</x:table>
</file>

<file path=xl/tables/table5.xml><?xml version="1.0" encoding="utf-8"?>
<x:table xmlns:x="http://schemas.openxmlformats.org/spreadsheetml/2006/main" id="5" name="Tabla_Auditoria_Codigo" displayName="Tabla_Auditoria_Codigo" ref="A1:I40" headerRowCount="1">
  <x:tableColumns count="9">
    <x:tableColumn id="1" name="Código revisión"/>
    <x:tableColumn id="2" name="Requisito"/>
    <x:tableColumn id="3" name="Elemento técnico esperado"/>
    <x:tableColumn id="4" name="Ruta/Archivo esperado"/>
    <x:tableColumn id="5" name="Qué debe verificarse en código"/>
    <x:tableColumn id="6" name="Criterio de aprobación"/>
    <x:tableColumn id="7" name="Estado revisión"/>
    <x:tableColumn id="8" name="Evidencia requerida"/>
    <x:tableColumn id="9" name="Observación"/>
  </x:tableColumns>
  <x:tableStyleInfo name="TableStyleMedium2" showRowStripes="1"/>
</x:table>
</file>

<file path=xl/tables/table6.xml><?xml version="1.0" encoding="utf-8"?>
<x:table xmlns:x="http://schemas.openxmlformats.org/spreadsheetml/2006/main" id="6" name="Tabla_Referencias_ISO" displayName="Tabla_Referencias_ISO" ref="A1:C23" headerRowCount="1">
  <x:tableColumns count="3">
    <x:tableColumn id="1" name="Código"/>
    <x:tableColumn id="2" name="Referencia ISO 690-2"/>
    <x:tableColumn id="3" name="Uso en la matriz"/>
  </x:tableColumns>
  <x:tableStyleInfo name="TableStyleMedium2" showRowStripes="1"/>
</x:table>
</file>

<file path=xl/tables/table7.xml><?xml version="1.0" encoding="utf-8"?>
<x:table xmlns:x="http://schemas.openxmlformats.org/spreadsheetml/2006/main" id="7" name="Tabla_Catalogos" displayName="Tabla_Catalogos" ref="A1:B26" headerRowCount="1">
  <x:tableColumns count="2">
    <x:tableColumn id="1" name="Categorí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57cb309e3a48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fc9fa9324544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6c241d827b48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744d3551de46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8bea77f5a04d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26d209a37e49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328ea5dd5143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0a58ceaeb84e8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42" hidden="0" customWidth="1"/>
    <x:col min="4" max="4" width="15" hidden="0" customWidth="1"/>
    <x:col min="6" max="6" width="25" hidden="0" customWidth="1"/>
    <x:col min="7" max="7" width="28" hidden="0" customWidth="1"/>
    <x:col min="8" max="8" width="25" hidden="0" customWidth="1"/>
    <x:col min="10" max="10" width="24" hidden="0" customWidth="1"/>
    <x:col min="11" max="11" width="24" hidden="0" customWidth="1"/>
  </x:cols>
  <x:sheetData>
    <x:row r="1">
      <x:c r="A1" s="8" t="str">
        <x:v>Matriz de Trazabilidad de Requisitos — Calzatura Vilchez</x:v>
      </x:c>
      <x:c r="B1" s="8"/>
      <x:c r="C1" s="8"/>
      <x:c r="D1" s="8"/>
      <x:c r="E1" s="8"/>
      <x:c r="F1" s="8"/>
      <x:c r="G1" s="8"/>
      <x:c r="H1" s="8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14" t="str">
        <x:v>Sistema web de comercio electrónico con modelo de IA para predicción de riesgo empresarial | Versión 2.0 | 30/05/2026</x:v>
      </x:c>
      <x:c r="B2" s="14"/>
      <x:c r="C2" s="14"/>
      <x:c r="D2" s="14"/>
      <x:c r="E2" s="14"/>
      <x:c r="F2" s="14"/>
      <x:c r="G2" s="14"/>
      <x:c r="H2" s="14"/>
    </x:row>
    <x:row r="4">
      <x:c r="A4" s="20" t="str">
        <x:v>Indicador</x:v>
      </x:c>
      <x:c r="B4" s="20" t="str">
        <x:v>Valor</x:v>
      </x:c>
      <x:c r="C4" s="20" t="str">
        <x:v>Criterio de interpretación</x:v>
      </x:c>
      <x:c r="D4" s="20" t="str">
        <x:v>Estado</x:v>
      </x:c>
      <x:c r="F4" s="20" t="str">
        <x:v>Semáforo de aptitud</x:v>
      </x:c>
      <x:c r="G4" s="20" t="str">
        <x:v>Condición</x:v>
      </x:c>
      <x:c r="H4" s="20" t="str">
        <x:v>Resultado</x:v>
      </x:c>
      <x:c r="J4" s="19" t="str">
        <x:v>Estado implementación</x:v>
      </x:c>
      <x:c r="K4" s="19" t="str">
        <x:v>Cantidad</x:v>
      </x:c>
    </x:row>
    <x:row r="5">
      <x:c r="A5" s="24" t="str">
        <x:v>Total de requisitos</x:v>
      </x:c>
      <x:c r="B5" s="25" t="n">
        <x:f>COUNTA(RTM_Detallada!A2:A200)</x:f>
        <x:v>56</x:v>
      </x:c>
      <x:c r="C5" s="25" t="str">
        <x:v>Debe incluir RF y RNF</x:v>
      </x:c>
      <x:c r="D5" s="26" t="str">
        <x:v>Control</x:v>
      </x:c>
      <x:c r="F5" t="str">
        <x:v>Cobertura implementación</x:v>
      </x:c>
      <x:c r="G5" t="str">
        <x:v>&gt;= 90%</x:v>
      </x:c>
      <x:c r="H5" t="str">
        <x:f>IF(B14&gt;=0.9,"APTO","REVISAR")</x:f>
        <x:v>REVISAR</x:v>
      </x:c>
      <x:c r="J5" t="str">
        <x:v>Implementado</x:v>
      </x:c>
      <x:c r="K5" t="n">
        <x:f>B9</x:f>
        <x:v>37</x:v>
      </x:c>
    </x:row>
    <x:row r="6">
      <x:c r="A6" s="27" t="str">
        <x:v>Requisitos funcionales</x:v>
      </x:c>
      <x:c r="B6" s="28" t="n">
        <x:f>COUNTIF(RTM_Detallada!B2:B200,"Funcional")</x:f>
        <x:v>42</x:v>
      </x:c>
      <x:c r="C6" s="28" t="str">
        <x:v>Cobertura funcional del sistema</x:v>
      </x:c>
      <x:c r="D6" s="29" t="str">
        <x:v>Control</x:v>
      </x:c>
      <x:c r="F6" t="str">
        <x:v>Cobertura pruebas</x:v>
      </x:c>
      <x:c r="G6" t="str">
        <x:v>&gt;= 90%</x:v>
      </x:c>
      <x:c r="H6" t="str">
        <x:f>IF(B15&gt;=0.9,"APTO","REVISAR")</x:f>
        <x:v>REVISAR</x:v>
      </x:c>
      <x:c r="J6" t="str">
        <x:v>En desarrollo</x:v>
      </x:c>
      <x:c r="K6" t="n">
        <x:f>B10</x:f>
        <x:v>15</x:v>
      </x:c>
    </x:row>
    <x:row r="7">
      <x:c r="A7" s="27" t="str">
        <x:v>Requisitos no funcionales</x:v>
      </x:c>
      <x:c r="B7" s="28" t="n">
        <x:f>COUNTIF(RTM_Detallada!B2:B200,"No funcional")</x:f>
        <x:v>14</x:v>
      </x:c>
      <x:c r="C7" s="28" t="str">
        <x:v>Cobertura de calidad del sistema</x:v>
      </x:c>
      <x:c r="D7" s="29" t="str">
        <x:v>Control</x:v>
      </x:c>
      <x:c r="F7" t="str">
        <x:v>Pendientes críticos</x:v>
      </x:c>
      <x:c r="G7" t="str">
        <x:v>0 pendientes altos</x:v>
      </x:c>
      <x:c r="H7" t="str">
        <x:f>IF(COUNTIFS(RTM_Detallada!S2:S200,"Pendiente",RTM_Detallada!W2:W200,"Alto")+COUNTIFS(RTM_Detallada!S2:S200,"Pendiente de código",RTM_Detallada!W2:W200,"Alto")=0,"APTO","REVISAR")</x:f>
        <x:v>APTO</x:v>
      </x:c>
      <x:c r="J7" t="str">
        <x:v>Pendiente/Pendiente código</x:v>
      </x:c>
      <x:c r="K7" t="n">
        <x:f>B11</x:f>
        <x:v>4</x:v>
      </x:c>
    </x:row>
    <x:row r="8">
      <x:c r="A8" s="27" t="str">
        <x:v>Prioridad alta</x:v>
      </x:c>
      <x:c r="B8" s="28" t="n">
        <x:f>COUNTIF(RTM_Detallada!G2:G200,"Alta")</x:f>
        <x:v>36</x:v>
      </x:c>
      <x:c r="C8" s="28" t="str">
        <x:v>Requisitos críticos para tesis</x:v>
      </x:c>
      <x:c r="D8" s="29" t="str">
        <x:v>Control</x:v>
      </x:c>
      <x:c r="F8" t="str">
        <x:v>Auditoría de código</x:v>
      </x:c>
      <x:c r="G8" t="str">
        <x:v>Requiere repositorio/capturas</x:v>
      </x:c>
      <x:c r="H8" t="str">
        <x:v>PENDIENTE DE VALIDAR</x:v>
      </x:c>
    </x:row>
    <x:row r="9">
      <x:c r="A9" s="27" t="str">
        <x:v>Implementados</x:v>
      </x:c>
      <x:c r="B9" s="28" t="n">
        <x:f>COUNTIF(RTM_Detallada!S2:S200,"Implementado")</x:f>
        <x:v>37</x:v>
      </x:c>
      <x:c r="C9" s="28" t="str">
        <x:v>Base para aptitud funcional</x:v>
      </x:c>
      <x:c r="D9" s="29" t="str">
        <x:v>Control</x:v>
      </x:c>
      <x:c r="F9" t="str">
        <x:v>Dictamen</x:v>
      </x:c>
      <x:c r="G9" t="str">
        <x:v>Apto solo con evidencia real adjunta</x:v>
      </x:c>
      <x:c r="H9" t="str">
        <x:f>IF(AND(H5="APTO",H6="APTO",H7="APTO"),"APTO CON EVIDENCIAS","NO CERRADO")</x:f>
        <x:v>NO CERRADO</x:v>
      </x:c>
    </x:row>
    <x:row r="10">
      <x:c r="A10" s="27" t="str">
        <x:v>En desarrollo</x:v>
      </x:c>
      <x:c r="B10" s="28" t="n">
        <x:f>COUNTIF(RTM_Detallada!S2:S200,"En desarrollo")</x:f>
        <x:v>15</x:v>
      </x:c>
      <x:c r="C10" s="28" t="str">
        <x:v>Debe cerrarse antes de defensa</x:v>
      </x:c>
      <x:c r="D10" s="29" t="str">
        <x:v>Atención</x:v>
      </x:c>
    </x:row>
    <x:row r="11">
      <x:c r="A11" s="27" t="str">
        <x:v>Pendientes</x:v>
      </x:c>
      <x:c r="B11" s="28" t="n">
        <x:f>COUNTIF(RTM_Detallada!S2:S200,"Pendiente") + COUNTIF(RTM_Detallada!S2:S200,"Pendiente de código")</x:f>
        <x:v>4</x:v>
      </x:c>
      <x:c r="C11" s="28" t="str">
        <x:v>No deben quedar en entrega final</x:v>
      </x:c>
      <x:c r="D11" s="29" t="str">
        <x:v>Atención</x:v>
      </x:c>
    </x:row>
    <x:row r="12">
      <x:c r="A12" s="27" t="str">
        <x:v>Pruebas con evidencia pendiente</x:v>
      </x:c>
      <x:c r="B12" s="28" t="n">
        <x:f>COUNTIF(RTM_Detallada!T2:T200,"Pendiente de evidencia")</x:f>
        <x:v>36</x:v>
      </x:c>
      <x:c r="C12" s="28" t="str">
        <x:v>Debe completarse con capturas reales</x:v>
      </x:c>
      <x:c r="D12" s="29" t="str">
        <x:v>Atención</x:v>
      </x:c>
    </x:row>
    <x:row r="13">
      <x:c r="A13" s="27" t="str">
        <x:v>Pruebas diseñadas</x:v>
      </x:c>
      <x:c r="B13" s="28" t="n">
        <x:f>COUNTIF(RTM_Detallada!T2:T200,"Diseñado")</x:f>
        <x:v>20</x:v>
      </x:c>
      <x:c r="C13" s="28" t="str">
        <x:v>Aún falta ejecución</x:v>
      </x:c>
      <x:c r="D13" s="29" t="str">
        <x:v>Atención</x:v>
      </x:c>
    </x:row>
    <x:row r="14">
      <x:c r="A14" s="27" t="str">
        <x:v>Cobertura de implementación</x:v>
      </x:c>
      <x:c r="B14" s="42" t="n">
        <x:f>IF(B5=0,0,B9/B5)</x:f>
        <x:v>0.6607142857142857</x:v>
      </x:c>
      <x:c r="C14" s="28" t="str">
        <x:v>Meta sugerida para defensa: &gt;= 90%</x:v>
      </x:c>
      <x:c r="D14" s="29" t="str">
        <x:v>KPI</x:v>
      </x:c>
    </x:row>
    <x:row r="15">
      <x:c r="A15" s="27" t="str">
        <x:v>Cobertura de pruebas con evidencia</x:v>
      </x:c>
      <x:c r="B15" s="42" t="n">
        <x:f>IF(B5=0,0,(B5-B12-B13)/B5)</x:f>
        <x:v>0</x:v>
      </x:c>
      <x:c r="C15" s="28" t="str">
        <x:v>Meta sugerida: &gt;= 90% con evidencias</x:v>
      </x:c>
      <x:c r="D15" s="29" t="str">
        <x:v>KPI</x:v>
      </x:c>
    </x:row>
    <x:row r="16">
      <x:c r="A16" s="30" t="str">
        <x:v>Requisitos de alto riesgo</x:v>
      </x:c>
      <x:c r="B16" s="31" t="n">
        <x:f>COUNTIF(RTM_Detallada!W2:W200,"Alto")</x:f>
        <x:v>35</x:v>
      </x:c>
      <x:c r="C16" s="31" t="str">
        <x:v>Deben tener evidencia técnica y funcional</x:v>
      </x:c>
      <x:c r="D16" s="32" t="str">
        <x:v>Control</x:v>
      </x:c>
    </x:row>
    <x:row r="19">
      <x:c r="A19" s="46" t="str">
        <x:v>Nota técnica: esta matriz está preparada para sustentar tesis. Para marcar como 'verificado por código', se debe adjuntar repositorio, ZIP o capturas reales de los componentes indicados en la hoja Auditoria_Codigo.</x:v>
      </x:c>
      <x:c r="B19" s="46"/>
      <x:c r="C19" s="46"/>
      <x:c r="D19" s="46"/>
      <x:c r="E19" s="46"/>
      <x:c r="F19" s="46"/>
      <x:c r="G19" s="46"/>
      <x:c r="H19" s="46"/>
    </x:row>
  </x:sheetData>
  <x:mergeCells>
    <x:mergeCell ref="A1:H1"/>
    <x:mergeCell ref="A2:H2"/>
    <x:mergeCell ref="A19:H19"/>
  </x:mergeCells>
  <x:conditionalFormatting sqref="H5:H9">
    <x:cfRule type="expression" dxfId="8" priority="1">
      <x:formula>H5="APTO"</x:formula>
    </x:cfRule>
    <x:cfRule type="expression" dxfId="9" priority="2">
      <x:formula>OR(H5="REVISAR",H5="NO CERRADO",H5="PENDIENTE DE VALIDAR")</x:formula>
    </x:cfRule>
  </x:conditionalFormatting>
  <x:pageMargins left="0.7" right="0.7" top="0.75" bottom="0.75" header="0.3" footer="0.3"/>
  <x:drawing xmlns:r="http://schemas.openxmlformats.org/officeDocument/2006/relationships" r:id="R8857cb309e3a481b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4" hidden="0" customWidth="1"/>
    <x:col min="5" max="5" width="42" hidden="0" customWidth="1"/>
    <x:col min="6" max="6" width="24" hidden="0" customWidth="1"/>
    <x:col min="7" max="7" width="10" hidden="0" customWidth="1"/>
    <x:col min="8" max="8" width="12" hidden="0" customWidth="1"/>
    <x:col min="9" max="9" width="12" hidden="0" customWidth="1"/>
    <x:col min="10" max="10" width="28" hidden="0" customWidth="1"/>
    <x:col min="11" max="11" width="35" hidden="0" customWidth="1"/>
    <x:col min="12" max="12" width="25" hidden="0" customWidth="1"/>
    <x:col min="13" max="13" width="25" hidden="0" customWidth="1"/>
    <x:col min="14" max="14" width="12" hidden="0" customWidth="1"/>
    <x:col min="15" max="15" width="20" hidden="0" customWidth="1"/>
    <x:col min="16" max="16" width="28" hidden="0" customWidth="1"/>
    <x:col min="17" max="17" width="38" hidden="0" customWidth="1"/>
    <x:col min="18" max="18" width="30" hidden="0" customWidth="1"/>
    <x:col min="19" max="19" width="18" hidden="0" customWidth="1"/>
    <x:col min="20" max="20" width="20" hidden="0" customWidth="1"/>
    <x:col min="21" max="21" width="42" hidden="0" customWidth="1"/>
    <x:col min="22" max="22" width="34" hidden="0" customWidth="1"/>
    <x:col min="23" max="23" width="12" hidden="0" customWidth="1"/>
    <x:col min="24" max="24" width="18" hidden="0" customWidth="1"/>
  </x:cols>
  <x:sheetData>
    <x:row r="1">
      <x:c r="A1" s="52" t="str">
        <x:v>ID requisito</x:v>
      </x:c>
      <x:c r="B1" s="52" t="str">
        <x:v>Tipo</x:v>
      </x:c>
      <x:c r="C1" s="52" t="str">
        <x:v>Macroproceso</x:v>
      </x:c>
      <x:c r="D1" s="52" t="str">
        <x:v>Proceso relacionado</x:v>
      </x:c>
      <x:c r="E1" s="52" t="str">
        <x:v>Descripción del requisito</x:v>
      </x:c>
      <x:c r="F1" s="52" t="str">
        <x:v>Actor/Responsable</x:v>
      </x:c>
      <x:c r="G1" s="52" t="str">
        <x:v>Prioridad</x:v>
      </x:c>
      <x:c r="H1" s="52" t="str">
        <x:v>Objetivo tesis</x:v>
      </x:c>
      <x:c r="I1" s="52" t="str">
        <x:v>Caso de uso</x:v>
      </x:c>
      <x:c r="J1" s="52" t="str">
        <x:v>Componente/Pantalla</x:v>
      </x:c>
      <x:c r="K1" s="52" t="str">
        <x:v>Archivo o servicio técnico esperado</x:v>
      </x:c>
      <x:c r="L1" s="52" t="str">
        <x:v>Tablas BD relacionadas</x:v>
      </x:c>
      <x:c r="M1" s="52" t="str">
        <x:v>Endpoint/Servicio</x:v>
      </x:c>
      <x:c r="N1" s="52" t="str">
        <x:v>Caso de prueba</x:v>
      </x:c>
      <x:c r="O1" s="52" t="str">
        <x:v>Tipo de prueba</x:v>
      </x:c>
      <x:c r="P1" s="52" t="str">
        <x:v>Datos de entrada</x:v>
      </x:c>
      <x:c r="Q1" s="52" t="str">
        <x:v>Resultado esperado</x:v>
      </x:c>
      <x:c r="R1" s="52" t="str">
        <x:v>Evidencia mínima</x:v>
      </x:c>
      <x:c r="S1" s="52" t="str">
        <x:v>Estado implementación</x:v>
      </x:c>
      <x:c r="T1" s="52" t="str">
        <x:v>Estado prueba</x:v>
      </x:c>
      <x:c r="U1" s="52" t="str">
        <x:v>Criterio de aceptación</x:v>
      </x:c>
      <x:c r="V1" s="52" t="str">
        <x:v>Observación técnica</x:v>
      </x:c>
      <x:c r="W1" s="52" t="str">
        <x:v>Riesgo si falla</x:v>
      </x:c>
      <x:c r="X1" s="52" t="str">
        <x:v>Sustento ISO 690-2</x:v>
      </x:c>
      <x:c r="Y1" s="4"/>
      <x:c r="Z1" s="4"/>
    </x:row>
    <x:row r="2">
      <x:c r="A2" s="2" t="str">
        <x:v>RF-001</x:v>
      </x:c>
      <x:c r="B2" s="2" t="str">
        <x:v>Funcional</x:v>
      </x:c>
      <x:c r="C2" s="2" t="str">
        <x:v>MP-01</x:v>
      </x:c>
      <x:c r="D2" s="2" t="str">
        <x:v>P-001</x:v>
      </x:c>
      <x:c r="E2" s="2" t="str">
        <x:v>El sistema debe permitir registrar el diagnóstico inicial de necesidades digitales y alcance funcional del proyecto.</x:v>
      </x:c>
      <x:c r="F2" s="2" t="str">
        <x:v>Administrador</x:v>
      </x:c>
      <x:c r="G2" s="2" t="str">
        <x:v>Media</x:v>
      </x:c>
      <x:c r="H2" s="2" t="str">
        <x:v>OE1</x:v>
      </x:c>
      <x:c r="I2" s="2" t="str">
        <x:v>CU-001</x:v>
      </x:c>
      <x:c r="J2" s="2" t="str">
        <x:v>Documento de análisis / Configuración inicial</x:v>
      </x:c>
      <x:c r="K2" s="2" t="str">
        <x:v>documentacion/analisis-procesos.docx</x:v>
      </x:c>
      <x:c r="L2" s="2" t="str">
        <x:v>No aplica</x:v>
      </x:c>
      <x:c r="M2" s="2" t="str">
        <x:v>No aplica</x:v>
      </x:c>
      <x:c r="N2" s="2" t="str">
        <x:v>CP-001</x:v>
      </x:c>
      <x:c r="O2" s="2" t="str">
        <x:v>Revisión documental</x:v>
      </x:c>
      <x:c r="P2" s="2" t="str">
        <x:v>Ficha de diagnóstico y alcance</x:v>
      </x:c>
      <x:c r="Q2" s="2" t="str">
        <x:v>Documento aprobado y coherente con procesos priorizados</x:v>
      </x:c>
      <x:c r="R2" s="2" t="str">
        <x:v>EV-001 Acta o revisión del apartado de análisis</x:v>
      </x:c>
      <x:c r="S2" s="2" t="str">
        <x:v>Implementado</x:v>
      </x:c>
      <x:c r="T2" s="2" t="str">
        <x:v>Diseñado</x:v>
      </x:c>
      <x:c r="U2" s="2" t="str">
        <x:v>El diagnóstico debe justificar módulos, exclusiones y criterios de sistematización.</x:v>
      </x:c>
      <x:c r="V2" s="2" t="str">
        <x:v>Vincular con captura/código real antes de defensa final.</x:v>
      </x:c>
      <x:c r="W2" s="2" t="str">
        <x:v>Medio</x:v>
      </x:c>
      <x:c r="X2" s="2" t="str">
        <x:v>[01]; [02]; [08]</x:v>
      </x:c>
    </x:row>
    <x:row r="3">
      <x:c r="A3" s="2" t="str">
        <x:v>RF-002</x:v>
      </x:c>
      <x:c r="B3" s="2" t="str">
        <x:v>Funcional</x:v>
      </x:c>
      <x:c r="C3" s="2" t="str">
        <x:v>MP-07</x:v>
      </x:c>
      <x:c r="D3" s="2" t="str">
        <x:v>P-013</x:v>
      </x:c>
      <x:c r="E3" s="2" t="str">
        <x:v>El sistema debe permitir iniciar sesión mediante correo y contraseña válidos.</x:v>
      </x:c>
      <x:c r="F3" s="2" t="str">
        <x:v>Todos los usuarios</x:v>
      </x:c>
      <x:c r="G3" s="2" t="str">
        <x:v>Alta</x:v>
      </x:c>
      <x:c r="H3" s="2" t="str">
        <x:v>OE2</x:v>
      </x:c>
      <x:c r="I3" s="2" t="str">
        <x:v>CU-002</x:v>
      </x:c>
      <x:c r="J3" s="2" t="str">
        <x:v>Login</x:v>
      </x:c>
      <x:c r="K3" s="2" t="str">
        <x:v>src/pages/Login.tsx; auth.service.ts</x:v>
      </x:c>
      <x:c r="L3" s="2" t="str">
        <x:v>usuarios</x:v>
      </x:c>
      <x:c r="M3" s="2" t="str">
        <x:v>POST /api/auth/login</x:v>
      </x:c>
      <x:c r="N3" s="2" t="str">
        <x:v>CP-002</x:v>
      </x:c>
      <x:c r="O3" s="2" t="str">
        <x:v>Caja negra / integración</x:v>
      </x:c>
      <x:c r="P3" s="2" t="str">
        <x:v>Correo y contraseña válidos e inválidos</x:v>
      </x:c>
      <x:c r="Q3" s="2" t="str">
        <x:v>Usuario válido ingresa al dashboard; usuario inválido recibe mensaje de error</x:v>
      </x:c>
      <x:c r="R3" s="2" t="str">
        <x:v>EV-002 Capturas login válido e inválido</x:v>
      </x:c>
      <x:c r="S3" s="2" t="str">
        <x:v>Implementado</x:v>
      </x:c>
      <x:c r="T3" s="2" t="str">
        <x:v>Pendiente de evidencia</x:v>
      </x:c>
      <x:c r="U3" s="2" t="str">
        <x:v>Debe proteger rutas internas y registrar sesión del usuario autenticado.</x:v>
      </x:c>
      <x:c r="V3" s="2" t="str">
        <x:v>Vincular con captura/código real antes de defensa final.</x:v>
      </x:c>
      <x:c r="W3" s="2" t="str">
        <x:v>Alto</x:v>
      </x:c>
      <x:c r="X3" s="2" t="str">
        <x:v>[37]; [38]; [39]</x:v>
      </x:c>
    </x:row>
    <x:row r="4">
      <x:c r="A4" s="2" t="str">
        <x:v>RF-003</x:v>
      </x:c>
      <x:c r="B4" s="2" t="str">
        <x:v>Funcional</x:v>
      </x:c>
      <x:c r="C4" s="2" t="str">
        <x:v>MP-07</x:v>
      </x:c>
      <x:c r="D4" s="2" t="str">
        <x:v>P-014</x:v>
      </x:c>
      <x:c r="E4" s="2" t="str">
        <x:v>El sistema debe permitir registrar usuarios internos con rol asignado.</x:v>
      </x:c>
      <x:c r="F4" s="2" t="str">
        <x:v>Administrador</x:v>
      </x:c>
      <x:c r="G4" s="2" t="str">
        <x:v>Alta</x:v>
      </x:c>
      <x:c r="H4" s="2" t="str">
        <x:v>OE2</x:v>
      </x:c>
      <x:c r="I4" s="2" t="str">
        <x:v>CU-003</x:v>
      </x:c>
      <x:c r="J4" s="2" t="str">
        <x:v>Gestión de usuarios</x:v>
      </x:c>
      <x:c r="K4" s="2" t="str">
        <x:v>src/pages/admin/Usuarios.tsx; user.controller.ts</x:v>
      </x:c>
      <x:c r="L4" s="2" t="str">
        <x:v>usuarios, roles</x:v>
      </x:c>
      <x:c r="M4" s="2" t="str">
        <x:v>POST /api/usuarios</x:v>
      </x:c>
      <x:c r="N4" s="2" t="str">
        <x:v>CP-003</x:v>
      </x:c>
      <x:c r="O4" s="2" t="str">
        <x:v>Caja negra / validación</x:v>
      </x:c>
      <x:c r="P4" s="2" t="str">
        <x:v>Nombre, correo, DNI, rol y estado</x:v>
      </x:c>
      <x:c r="Q4" s="2" t="str">
        <x:v>Usuario interno queda registrado sin duplicidad de correo o DNI</x:v>
      </x:c>
      <x:c r="R4" s="2" t="str">
        <x:v>EV-003 Captura de usuario registrado y fila BD</x:v>
      </x:c>
      <x:c r="S4" s="2" t="str">
        <x:v>Implementado</x:v>
      </x:c>
      <x:c r="T4" s="2" t="str">
        <x:v>Pendiente de evidencia</x:v>
      </x:c>
      <x:c r="U4" s="2" t="str">
        <x:v>Debe validar campos obligatorios, rol permitido y duplicidad.</x:v>
      </x:c>
      <x:c r="V4" s="2" t="str">
        <x:v>Vincular con captura/código real antes de defensa final.</x:v>
      </x:c>
      <x:c r="W4" s="2" t="str">
        <x:v>Alto</x:v>
      </x:c>
      <x:c r="X4" s="2" t="str">
        <x:v>[37]; [39]</x:v>
      </x:c>
    </x:row>
    <x:row r="5">
      <x:c r="A5" s="2" t="str">
        <x:v>RF-004</x:v>
      </x:c>
      <x:c r="B5" s="2" t="str">
        <x:v>Funcional</x:v>
      </x:c>
      <x:c r="C5" s="2" t="str">
        <x:v>MP-07</x:v>
      </x:c>
      <x:c r="D5" s="2" t="str">
        <x:v>P-014</x:v>
      </x:c>
      <x:c r="E5" s="2" t="str">
        <x:v>El sistema debe permitir editar, consultar, activar o desactivar usuarios internos.</x:v>
      </x:c>
      <x:c r="F5" s="2" t="str">
        <x:v>Administrador</x:v>
      </x:c>
      <x:c r="G5" s="2" t="str">
        <x:v>Alta</x:v>
      </x:c>
      <x:c r="H5" s="2" t="str">
        <x:v>OE2</x:v>
      </x:c>
      <x:c r="I5" s="2" t="str">
        <x:v>CU-004</x:v>
      </x:c>
      <x:c r="J5" s="2" t="str">
        <x:v>Gestión de usuarios</x:v>
      </x:c>
      <x:c r="K5" s="2" t="str">
        <x:v>src/pages/admin/Usuarios.tsx; user.controller.ts</x:v>
      </x:c>
      <x:c r="L5" s="2" t="str">
        <x:v>usuarios, auditoria</x:v>
      </x:c>
      <x:c r="M5" s="2" t="str">
        <x:v>GET/PUT/PATCH /api/usuarios</x:v>
      </x:c>
      <x:c r="N5" s="2" t="str">
        <x:v>CP-004</x:v>
      </x:c>
      <x:c r="O5" s="2" t="str">
        <x:v>Caja negra / regresión</x:v>
      </x:c>
      <x:c r="P5" s="2" t="str">
        <x:v>Usuario existente y nuevo estado</x:v>
      </x:c>
      <x:c r="Q5" s="2" t="str">
        <x:v>El usuario cambia de estado sin eliminar historial</x:v>
      </x:c>
      <x:c r="R5" s="2" t="str">
        <x:v>EV-004 Captura de edición/desactivación</x:v>
      </x:c>
      <x:c r="S5" s="2" t="str">
        <x:v>Implementado</x:v>
      </x:c>
      <x:c r="T5" s="2" t="str">
        <x:v>Pendiente de evidencia</x:v>
      </x:c>
      <x:c r="U5" s="2" t="str">
        <x:v>Debe aplicar eliminación lógica y registrar auditoría.</x:v>
      </x:c>
      <x:c r="V5" s="2" t="str">
        <x:v>Vincular con captura/código real antes de defensa final.</x:v>
      </x:c>
      <x:c r="W5" s="2" t="str">
        <x:v>Alto</x:v>
      </x:c>
      <x:c r="X5" s="2" t="str">
        <x:v>[37]; [39]</x:v>
      </x:c>
    </x:row>
    <x:row r="6">
      <x:c r="A6" s="2" t="str">
        <x:v>RF-005</x:v>
      </x:c>
      <x:c r="B6" s="2" t="str">
        <x:v>Funcional</x:v>
      </x:c>
      <x:c r="C6" s="2" t="str">
        <x:v>MP-07</x:v>
      </x:c>
      <x:c r="D6" s="2" t="str">
        <x:v>P-015</x:v>
      </x:c>
      <x:c r="E6" s="2" t="str">
        <x:v>El sistema debe permitir recuperar o restablecer el acceso de usuario según mecanismo configurado.</x:v>
      </x:c>
      <x:c r="F6" s="2" t="str">
        <x:v>Usuario registrado</x:v>
      </x:c>
      <x:c r="G6" s="2" t="str">
        <x:v>Media</x:v>
      </x:c>
      <x:c r="H6" s="2" t="str">
        <x:v>OE2</x:v>
      </x:c>
      <x:c r="I6" s="2" t="str">
        <x:v>CU-005</x:v>
      </x:c>
      <x:c r="J6" s="2" t="str">
        <x:v>Recuperación de acceso</x:v>
      </x:c>
      <x:c r="K6" s="2" t="str">
        <x:v>src/pages/ForgotPassword.tsx; auth.service.ts</x:v>
      </x:c>
      <x:c r="L6" s="2" t="str">
        <x:v>usuarios, tokens_recuperacion</x:v>
      </x:c>
      <x:c r="M6" s="2" t="str">
        <x:v>POST /api/auth/recover</x:v>
      </x:c>
      <x:c r="N6" s="2" t="str">
        <x:v>CP-005</x:v>
      </x:c>
      <x:c r="O6" s="2" t="str">
        <x:v>Caja negra</x:v>
      </x:c>
      <x:c r="P6" s="2" t="str">
        <x:v>Correo registrado y no registrado</x:v>
      </x:c>
      <x:c r="Q6" s="2" t="str">
        <x:v>Se emite instrucción de recuperación o mensaje controlado</x:v>
      </x:c>
      <x:c r="R6" s="2" t="str">
        <x:v>EV-005 Captura flujo recuperación</x:v>
      </x:c>
      <x:c r="S6" s="2" t="str">
        <x:v>En desarrollo</x:v>
      </x:c>
      <x:c r="T6" s="2" t="str">
        <x:v>Diseñado</x:v>
      </x:c>
      <x:c r="U6" s="2" t="str">
        <x:v>No debe revelar si un correo existe a usuarios no autorizados.</x:v>
      </x:c>
      <x:c r="V6" s="2" t="str">
        <x:v>Vincular con captura/código real antes de defensa final.</x:v>
      </x:c>
      <x:c r="W6" s="2" t="str">
        <x:v>Medio</x:v>
      </x:c>
      <x:c r="X6" s="2" t="str">
        <x:v>[37]; [39]</x:v>
      </x:c>
    </x:row>
    <x:row r="7">
      <x:c r="A7" s="2" t="str">
        <x:v>RF-006</x:v>
      </x:c>
      <x:c r="B7" s="2" t="str">
        <x:v>Funcional</x:v>
      </x:c>
      <x:c r="C7" s="2" t="str">
        <x:v>MP-04</x:v>
      </x:c>
      <x:c r="D7" s="2" t="str">
        <x:v>P-003</x:v>
      </x:c>
      <x:c r="E7" s="2" t="str">
        <x:v>El sistema debe permitir registrar productos de calzado con datos completos.</x:v>
      </x:c>
      <x:c r="F7" s="2" t="str">
        <x:v>Administrador</x:v>
      </x:c>
      <x:c r="G7" s="2" t="str">
        <x:v>Alta</x:v>
      </x:c>
      <x:c r="H7" s="2" t="str">
        <x:v>OE2</x:v>
      </x:c>
      <x:c r="I7" s="2" t="str">
        <x:v>CU-006</x:v>
      </x:c>
      <x:c r="J7" s="2" t="str">
        <x:v>Formulario producto</x:v>
      </x:c>
      <x:c r="K7" s="2" t="str">
        <x:v>src/pages/admin/Productos.tsx; product.controller.ts</x:v>
      </x:c>
      <x:c r="L7" s="2" t="str">
        <x:v>productos, categorias, marcas</x:v>
      </x:c>
      <x:c r="M7" s="2" t="str">
        <x:v>POST /api/productos</x:v>
      </x:c>
      <x:c r="N7" s="2" t="str">
        <x:v>CP-006</x:v>
      </x:c>
      <x:c r="O7" s="2" t="str">
        <x:v>Caja negra / integración</x:v>
      </x:c>
      <x:c r="P7" s="2" t="str">
        <x:v>Nombre, marca, categoría, talla, color, género, precio y stock</x:v>
      </x:c>
      <x:c r="Q7" s="2" t="str">
        <x:v>Producto guardado y visible en listado</x:v>
      </x:c>
      <x:c r="R7" s="2" t="str">
        <x:v>EV-006 Captura formulario y listado</x:v>
      </x:c>
      <x:c r="S7" s="2" t="str">
        <x:v>Implementado</x:v>
      </x:c>
      <x:c r="T7" s="2" t="str">
        <x:v>Pendiente de evidencia</x:v>
      </x:c>
      <x:c r="U7" s="2" t="str">
        <x:v>Debe exigir campos mínimos y asociar categoría y marca válidas.</x:v>
      </x:c>
      <x:c r="V7" s="2" t="str">
        <x:v>Vincular con captura/código real antes de defensa final.</x:v>
      </x:c>
      <x:c r="W7" s="2" t="str">
        <x:v>Alto</x:v>
      </x:c>
      <x:c r="X7" s="2" t="str">
        <x:v>[06]; [07]; [08]</x:v>
      </x:c>
    </x:row>
    <x:row r="8">
      <x:c r="A8" s="2" t="str">
        <x:v>RF-007</x:v>
      </x:c>
      <x:c r="B8" s="2" t="str">
        <x:v>Funcional</x:v>
      </x:c>
      <x:c r="C8" s="2" t="str">
        <x:v>MP-04</x:v>
      </x:c>
      <x:c r="D8" s="2" t="str">
        <x:v>P-004</x:v>
      </x:c>
      <x:c r="E8" s="2" t="str">
        <x:v>El sistema debe permitir editar información de productos registrados.</x:v>
      </x:c>
      <x:c r="F8" s="2" t="str">
        <x:v>Administrador</x:v>
      </x:c>
      <x:c r="G8" s="2" t="str">
        <x:v>Alta</x:v>
      </x:c>
      <x:c r="H8" s="2" t="str">
        <x:v>OE2</x:v>
      </x:c>
      <x:c r="I8" s="2" t="str">
        <x:v>CU-007</x:v>
      </x:c>
      <x:c r="J8" s="2" t="str">
        <x:v>Edición producto</x:v>
      </x:c>
      <x:c r="K8" s="2" t="str">
        <x:v>src/pages/admin/Productos.tsx; product.controller.ts</x:v>
      </x:c>
      <x:c r="L8" s="2" t="str">
        <x:v>productos, auditoria</x:v>
      </x:c>
      <x:c r="M8" s="2" t="str">
        <x:v>PUT /api/productos/{id}</x:v>
      </x:c>
      <x:c r="N8" s="2" t="str">
        <x:v>CP-007</x:v>
      </x:c>
      <x:c r="O8" s="2" t="str">
        <x:v>Caja negra / regresión</x:v>
      </x:c>
      <x:c r="P8" s="2" t="str">
        <x:v>Producto existente y nuevos datos</x:v>
      </x:c>
      <x:c r="Q8" s="2" t="str">
        <x:v>Producto actualizado sin perder relación con inventario</x:v>
      </x:c>
      <x:c r="R8" s="2" t="str">
        <x:v>EV-007 Captura antes/después</x:v>
      </x:c>
      <x:c r="S8" s="2" t="str">
        <x:v>Implementado</x:v>
      </x:c>
      <x:c r="T8" s="2" t="str">
        <x:v>Pendiente de evidencia</x:v>
      </x:c>
      <x:c r="U8" s="2" t="str">
        <x:v>Debe mantener integridad entre producto, inventario y ventas históricas.</x:v>
      </x:c>
      <x:c r="V8" s="2" t="str">
        <x:v>Vincular con captura/código real antes de defensa final.</x:v>
      </x:c>
      <x:c r="W8" s="2" t="str">
        <x:v>Alto</x:v>
      </x:c>
      <x:c r="X8" s="2" t="str">
        <x:v>[06]; [07]</x:v>
      </x:c>
    </x:row>
    <x:row r="9">
      <x:c r="A9" s="2" t="str">
        <x:v>RF-008</x:v>
      </x:c>
      <x:c r="B9" s="2" t="str">
        <x:v>Funcional</x:v>
      </x:c>
      <x:c r="C9" s="2" t="str">
        <x:v>MP-04</x:v>
      </x:c>
      <x:c r="D9" s="2" t="str">
        <x:v>P-005</x:v>
      </x:c>
      <x:c r="E9" s="2" t="str">
        <x:v>El sistema debe permitir desactivar productos no disponibles sin borrar registros históricos.</x:v>
      </x:c>
      <x:c r="F9" s="2" t="str">
        <x:v>Administrador</x:v>
      </x:c>
      <x:c r="G9" s="2" t="str">
        <x:v>Media</x:v>
      </x:c>
      <x:c r="H9" s="2" t="str">
        <x:v>OE2</x:v>
      </x:c>
      <x:c r="I9" s="2" t="str">
        <x:v>CU-008</x:v>
      </x:c>
      <x:c r="J9" s="2" t="str">
        <x:v>Estado producto</x:v>
      </x:c>
      <x:c r="K9" s="2" t="str">
        <x:v>src/pages/admin/Productos.tsx; product.controller.ts</x:v>
      </x:c>
      <x:c r="L9" s="2" t="str">
        <x:v>productos, auditoria</x:v>
      </x:c>
      <x:c r="M9" s="2" t="str">
        <x:v>PATCH /api/productos/{id}/estado</x:v>
      </x:c>
      <x:c r="N9" s="2" t="str">
        <x:v>CP-008</x:v>
      </x:c>
      <x:c r="O9" s="2" t="str">
        <x:v>Caja negra</x:v>
      </x:c>
      <x:c r="P9" s="2" t="str">
        <x:v>Producto activo/inactivo</x:v>
      </x:c>
      <x:c r="Q9" s="2" t="str">
        <x:v>Producto inactivo no aparece como vendible, pero conserva historial</x:v>
      </x:c>
      <x:c r="R9" s="2" t="str">
        <x:v>EV-008 Captura producto inactivo</x:v>
      </x:c>
      <x:c r="S9" s="2" t="str">
        <x:v>Implementado</x:v>
      </x:c>
      <x:c r="T9" s="2" t="str">
        <x:v>Pendiente de evidencia</x:v>
      </x:c>
      <x:c r="U9" s="2" t="str">
        <x:v>Debe aplicar eliminación lógica y no física.</x:v>
      </x:c>
      <x:c r="V9" s="2" t="str">
        <x:v>Vincular con captura/código real antes de defensa final.</x:v>
      </x:c>
      <x:c r="W9" s="2" t="str">
        <x:v>Medio</x:v>
      </x:c>
      <x:c r="X9" s="2" t="str">
        <x:v>[07]; [08]</x:v>
      </x:c>
    </x:row>
    <x:row r="10">
      <x:c r="A10" s="2" t="str">
        <x:v>RF-009</x:v>
      </x:c>
      <x:c r="B10" s="2" t="str">
        <x:v>Funcional</x:v>
      </x:c>
      <x:c r="C10" s="2" t="str">
        <x:v>MP-04</x:v>
      </x:c>
      <x:c r="D10" s="2" t="str">
        <x:v>P-006</x:v>
      </x:c>
      <x:c r="E10" s="2" t="str">
        <x:v>El sistema debe permitir clasificar productos por categoría, marca, talla, color y género.</x:v>
      </x:c>
      <x:c r="F10" s="2" t="str">
        <x:v>Administrador</x:v>
      </x:c>
      <x:c r="G10" s="2" t="str">
        <x:v>Alta</x:v>
      </x:c>
      <x:c r="H10" s="2" t="str">
        <x:v>OE2</x:v>
      </x:c>
      <x:c r="I10" s="2" t="str">
        <x:v>CU-009</x:v>
      </x:c>
      <x:c r="J10" s="2" t="str">
        <x:v>Catálogo / filtros</x:v>
      </x:c>
      <x:c r="K10" s="2" t="str">
        <x:v>src/components/ProductFilters.tsx; product.service.ts</x:v>
      </x:c>
      <x:c r="L10" s="2" t="str">
        <x:v>productos, categorias, marcas</x:v>
      </x:c>
      <x:c r="M10" s="2" t="str">
        <x:v>GET /api/productos?filtros</x:v>
      </x:c>
      <x:c r="N10" s="2" t="str">
        <x:v>CP-009</x:v>
      </x:c>
      <x:c r="O10" s="2" t="str">
        <x:v>Caja negra / usabilidad</x:v>
      </x:c>
      <x:c r="P10" s="2" t="str">
        <x:v>Filtros de categoría, marca, talla, color y género</x:v>
      </x:c>
      <x:c r="Q10" s="2" t="str">
        <x:v>El listado muestra productos filtrados correctamente</x:v>
      </x:c>
      <x:c r="R10" s="2" t="str">
        <x:v>EV-009 Capturas filtros aplicados</x:v>
      </x:c>
      <x:c r="S10" s="2" t="str">
        <x:v>Implementado</x:v>
      </x:c>
      <x:c r="T10" s="2" t="str">
        <x:v>Pendiente de evidencia</x:v>
      </x:c>
      <x:c r="U10" s="2" t="str">
        <x:v>Debe responder con resultados coherentes y sin datos duplicados.</x:v>
      </x:c>
      <x:c r="V10" s="2" t="str">
        <x:v>Vincular con captura/código real antes de defensa final.</x:v>
      </x:c>
      <x:c r="W10" s="2" t="str">
        <x:v>Medio</x:v>
      </x:c>
      <x:c r="X10" s="2" t="str">
        <x:v>[06]; [07]; [08]</x:v>
      </x:c>
    </x:row>
    <x:row r="11">
      <x:c r="A11" s="2" t="str">
        <x:v>RF-010</x:v>
      </x:c>
      <x:c r="B11" s="2" t="str">
        <x:v>Funcional</x:v>
      </x:c>
      <x:c r="C11" s="2" t="str">
        <x:v>MP-05</x:v>
      </x:c>
      <x:c r="D11" s="2" t="str">
        <x:v>P-007</x:v>
      </x:c>
      <x:c r="E11" s="2" t="str">
        <x:v>El sistema debe permitir registrar entrada de mercadería al inventario.</x:v>
      </x:c>
      <x:c r="F11" s="2" t="str">
        <x:v>Administrador / almacenero</x:v>
      </x:c>
      <x:c r="G11" s="2" t="str">
        <x:v>Alta</x:v>
      </x:c>
      <x:c r="H11" s="2" t="str">
        <x:v>OE2</x:v>
      </x:c>
      <x:c r="I11" s="2" t="str">
        <x:v>CU-010</x:v>
      </x:c>
      <x:c r="J11" s="2" t="str">
        <x:v>Entrada inventario</x:v>
      </x:c>
      <x:c r="K11" s="2" t="str">
        <x:v>src/pages/admin/Inventario.tsx; inventory.controller.ts</x:v>
      </x:c>
      <x:c r="L11" s="2" t="str">
        <x:v>inventario, movimientos_inventario, productos</x:v>
      </x:c>
      <x:c r="M11" s="2" t="str">
        <x:v>POST /api/inventario/entradas</x:v>
      </x:c>
      <x:c r="N11" s="2" t="str">
        <x:v>CP-010</x:v>
      </x:c>
      <x:c r="O11" s="2" t="str">
        <x:v>Caja negra / integración</x:v>
      </x:c>
      <x:c r="P11" s="2" t="str">
        <x:v>Producto, cantidad, motivo y responsable</x:v>
      </x:c>
      <x:c r="Q11" s="2" t="str">
        <x:v>Stock aumenta y se registra movimiento de entrada</x:v>
      </x:c>
      <x:c r="R11" s="2" t="str">
        <x:v>EV-010 Captura entrada y stock actualizado</x:v>
      </x:c>
      <x:c r="S11" s="2" t="str">
        <x:v>Implementado</x:v>
      </x:c>
      <x:c r="T11" s="2" t="str">
        <x:v>Pendiente de evidencia</x:v>
      </x:c>
      <x:c r="U11" s="2" t="str">
        <x:v>Toda entrada debe tener responsable, fecha y motivo.</x:v>
      </x:c>
      <x:c r="V11" s="2" t="str">
        <x:v>Vincular con captura/código real antes de defensa final.</x:v>
      </x:c>
      <x:c r="W11" s="2" t="str">
        <x:v>Alto</x:v>
      </x:c>
      <x:c r="X11" s="2" t="str">
        <x:v>[07]; [08]</x:v>
      </x:c>
    </x:row>
    <x:row r="12">
      <x:c r="A12" s="2" t="str">
        <x:v>RF-011</x:v>
      </x:c>
      <x:c r="B12" s="2" t="str">
        <x:v>Funcional</x:v>
      </x:c>
      <x:c r="C12" s="2" t="str">
        <x:v>MP-05</x:v>
      </x:c>
      <x:c r="D12" s="2" t="str">
        <x:v>P-008</x:v>
      </x:c>
      <x:c r="E12" s="2" t="str">
        <x:v>El sistema debe permitir consultar y controlar el stock disponible por producto.</x:v>
      </x:c>
      <x:c r="F12" s="2" t="str">
        <x:v>Administrador / vendedor</x:v>
      </x:c>
      <x:c r="G12" s="2" t="str">
        <x:v>Alta</x:v>
      </x:c>
      <x:c r="H12" s="2" t="str">
        <x:v>OE2</x:v>
      </x:c>
      <x:c r="I12" s="2" t="str">
        <x:v>CU-011</x:v>
      </x:c>
      <x:c r="J12" s="2" t="str">
        <x:v>Listado inventario</x:v>
      </x:c>
      <x:c r="K12" s="2" t="str">
        <x:v>src/pages/admin/Inventario.tsx</x:v>
      </x:c>
      <x:c r="L12" s="2" t="str">
        <x:v>productos, inventario</x:v>
      </x:c>
      <x:c r="M12" s="2" t="str">
        <x:v>GET /api/inventario</x:v>
      </x:c>
      <x:c r="N12" s="2" t="str">
        <x:v>CP-011</x:v>
      </x:c>
      <x:c r="O12" s="2" t="str">
        <x:v>Caja negra</x:v>
      </x:c>
      <x:c r="P12" s="2" t="str">
        <x:v>Consulta de stock por producto</x:v>
      </x:c>
      <x:c r="Q12" s="2" t="str">
        <x:v>El sistema muestra stock actual por producto y variante</x:v>
      </x:c>
      <x:c r="R12" s="2" t="str">
        <x:v>EV-011 Captura inventario</x:v>
      </x:c>
      <x:c r="S12" s="2" t="str">
        <x:v>Implementado</x:v>
      </x:c>
      <x:c r="T12" s="2" t="str">
        <x:v>Pendiente de evidencia</x:v>
      </x:c>
      <x:c r="U12" s="2" t="str">
        <x:v>El stock debe coincidir con movimientos acumulados.</x:v>
      </x:c>
      <x:c r="V12" s="2" t="str">
        <x:v>Vincular con captura/código real antes de defensa final.</x:v>
      </x:c>
      <x:c r="W12" s="2" t="str">
        <x:v>Alto</x:v>
      </x:c>
      <x:c r="X12" s="2" t="str">
        <x:v>[07]; [08]</x:v>
      </x:c>
    </x:row>
    <x:row r="13">
      <x:c r="A13" s="2" t="str">
        <x:v>RF-012</x:v>
      </x:c>
      <x:c r="B13" s="2" t="str">
        <x:v>Funcional</x:v>
      </x:c>
      <x:c r="C13" s="2" t="str">
        <x:v>MP-05</x:v>
      </x:c>
      <x:c r="D13" s="2" t="str">
        <x:v>P-009</x:v>
      </x:c>
      <x:c r="E13" s="2" t="str">
        <x:v>El sistema debe generar alerta cuando un producto alcance o baje del stock mínimo.</x:v>
      </x:c>
      <x:c r="F13" s="2" t="str">
        <x:v>Administrador / gerente</x:v>
      </x:c>
      <x:c r="G13" s="2" t="str">
        <x:v>Alta</x:v>
      </x:c>
      <x:c r="H13" s="2" t="str">
        <x:v>OE2</x:v>
      </x:c>
      <x:c r="I13" s="2" t="str">
        <x:v>CU-012</x:v>
      </x:c>
      <x:c r="J13" s="2" t="str">
        <x:v>Alertas de stock</x:v>
      </x:c>
      <x:c r="K13" s="2" t="str">
        <x:v>src/components/StockAlert.tsx; inventory.service.ts</x:v>
      </x:c>
      <x:c r="L13" s="2" t="str">
        <x:v>productos, inventario</x:v>
      </x:c>
      <x:c r="M13" s="2" t="str">
        <x:v>GET /api/inventario/alertas</x:v>
      </x:c>
      <x:c r="N13" s="2" t="str">
        <x:v>CP-012</x:v>
      </x:c>
      <x:c r="O13" s="2" t="str">
        <x:v>Caja negra / regla de negocio</x:v>
      </x:c>
      <x:c r="P13" s="2" t="str">
        <x:v>Producto con stock menor o igual al mínimo</x:v>
      </x:c>
      <x:c r="Q13" s="2" t="str">
        <x:v>Se muestra alerta de stock crítico</x:v>
      </x:c>
      <x:c r="R13" s="2" t="str">
        <x:v>EV-012 Captura alerta stock mínimo</x:v>
      </x:c>
      <x:c r="S13" s="2" t="str">
        <x:v>Implementado</x:v>
      </x:c>
      <x:c r="T13" s="2" t="str">
        <x:v>Pendiente de evidencia</x:v>
      </x:c>
      <x:c r="U13" s="2" t="str">
        <x:v>La alerta debe ser visible en inventario o dashboard.</x:v>
      </x:c>
      <x:c r="V13" s="2" t="str">
        <x:v>Vincular con captura/código real antes de defensa final.</x:v>
      </x:c>
      <x:c r="W13" s="2" t="str">
        <x:v>Alto</x:v>
      </x:c>
      <x:c r="X13" s="2" t="str">
        <x:v>[07]; [14]</x:v>
      </x:c>
    </x:row>
    <x:row r="14">
      <x:c r="A14" s="2" t="str">
        <x:v>RF-013</x:v>
      </x:c>
      <x:c r="B14" s="2" t="str">
        <x:v>Funcional</x:v>
      </x:c>
      <x:c r="C14" s="2" t="str">
        <x:v>MP-05</x:v>
      </x:c>
      <x:c r="D14" s="2" t="str">
        <x:v>P-010</x:v>
      </x:c>
      <x:c r="E14" s="2" t="str">
        <x:v>El sistema debe permitir registrar ajustes de inventario por devolución, merma o corrección autorizada.</x:v>
      </x:c>
      <x:c r="F14" s="2" t="str">
        <x:v>Administrador / almacenero</x:v>
      </x:c>
      <x:c r="G14" s="2" t="str">
        <x:v>Media</x:v>
      </x:c>
      <x:c r="H14" s="2" t="str">
        <x:v>OE2</x:v>
      </x:c>
      <x:c r="I14" s="2" t="str">
        <x:v>CU-013</x:v>
      </x:c>
      <x:c r="J14" s="2" t="str">
        <x:v>Ajuste inventario</x:v>
      </x:c>
      <x:c r="K14" s="2" t="str">
        <x:v>src/pages/admin/Inventario.tsx; inventory.controller.ts</x:v>
      </x:c>
      <x:c r="L14" s="2" t="str">
        <x:v>movimientos_inventario, auditoria</x:v>
      </x:c>
      <x:c r="M14" s="2" t="str">
        <x:v>POST /api/inventario/ajustes</x:v>
      </x:c>
      <x:c r="N14" s="2" t="str">
        <x:v>CP-013</x:v>
      </x:c>
      <x:c r="O14" s="2" t="str">
        <x:v>Caja negra / auditoría</x:v>
      </x:c>
      <x:c r="P14" s="2" t="str">
        <x:v>Producto, cantidad, tipo de ajuste y motivo</x:v>
      </x:c>
      <x:c r="Q14" s="2" t="str">
        <x:v>Stock se ajusta y queda registro auditable</x:v>
      </x:c>
      <x:c r="R14" s="2" t="str">
        <x:v>EV-013 Captura ajuste con motivo</x:v>
      </x:c>
      <x:c r="S14" s="2" t="str">
        <x:v>En desarrollo</x:v>
      </x:c>
      <x:c r="T14" s="2" t="str">
        <x:v>Diseñado</x:v>
      </x:c>
      <x:c r="U14" s="2" t="str">
        <x:v>Debe requerir motivo y usuario responsable.</x:v>
      </x:c>
      <x:c r="V14" s="2" t="str">
        <x:v>Vincular con captura/código real antes de defensa final.</x:v>
      </x:c>
      <x:c r="W14" s="2" t="str">
        <x:v>Medio</x:v>
      </x:c>
      <x:c r="X14" s="2" t="str">
        <x:v>[07]; [39]</x:v>
      </x:c>
    </x:row>
    <x:row r="15">
      <x:c r="A15" s="2" t="str">
        <x:v>RF-014</x:v>
      </x:c>
      <x:c r="B15" s="2" t="str">
        <x:v>Funcional</x:v>
      </x:c>
      <x:c r="C15" s="2" t="str">
        <x:v>MP-06</x:v>
      </x:c>
      <x:c r="D15" s="2" t="str">
        <x:v>P-011</x:v>
      </x:c>
      <x:c r="E15" s="2" t="str">
        <x:v>El sistema debe permitir consultar el catálogo de productos desde el portal web.</x:v>
      </x:c>
      <x:c r="F15" s="2" t="str">
        <x:v>Cliente / visitante</x:v>
      </x:c>
      <x:c r="G15" s="2" t="str">
        <x:v>Alta</x:v>
      </x:c>
      <x:c r="H15" s="2" t="str">
        <x:v>OE2</x:v>
      </x:c>
      <x:c r="I15" s="2" t="str">
        <x:v>CU-014</x:v>
      </x:c>
      <x:c r="J15" s="2" t="str">
        <x:v>Catálogo público</x:v>
      </x:c>
      <x:c r="K15" s="2" t="str">
        <x:v>src/pages/Catalogo.tsx; product.service.ts</x:v>
      </x:c>
      <x:c r="L15" s="2" t="str">
        <x:v>productos, categorias, marcas</x:v>
      </x:c>
      <x:c r="M15" s="2" t="str">
        <x:v>GET /api/productos/publicos</x:v>
      </x:c>
      <x:c r="N15" s="2" t="str">
        <x:v>CP-014</x:v>
      </x:c>
      <x:c r="O15" s="2" t="str">
        <x:v>Caja negra / usabilidad</x:v>
      </x:c>
      <x:c r="P15" s="2" t="str">
        <x:v>Ingreso a catálogo</x:v>
      </x:c>
      <x:c r="Q15" s="2" t="str">
        <x:v>El cliente visualiza productos activos con información comercial</x:v>
      </x:c>
      <x:c r="R15" s="2" t="str">
        <x:v>EV-014 Captura catálogo público</x:v>
      </x:c>
      <x:c r="S15" s="2" t="str">
        <x:v>Implementado</x:v>
      </x:c>
      <x:c r="T15" s="2" t="str">
        <x:v>Pendiente de evidencia</x:v>
      </x:c>
      <x:c r="U15" s="2" t="str">
        <x:v>Solo deben mostrarse productos activos y disponibles.</x:v>
      </x:c>
      <x:c r="V15" s="2" t="str">
        <x:v>Vincular con captura/código real antes de defensa final.</x:v>
      </x:c>
      <x:c r="W15" s="2" t="str">
        <x:v>Medio</x:v>
      </x:c>
      <x:c r="X15" s="2" t="str">
        <x:v>[06]; [07]; [08]</x:v>
      </x:c>
    </x:row>
    <x:row r="16">
      <x:c r="A16" s="2" t="str">
        <x:v>RF-015</x:v>
      </x:c>
      <x:c r="B16" s="2" t="str">
        <x:v>Funcional</x:v>
      </x:c>
      <x:c r="C16" s="2" t="str">
        <x:v>MP-08</x:v>
      </x:c>
      <x:c r="D16" s="2" t="str">
        <x:v>P-012</x:v>
      </x:c>
      <x:c r="E16" s="2" t="str">
        <x:v>El sistema debe permitir registrar clientes con datos de contacto válidos.</x:v>
      </x:c>
      <x:c r="F16" s="2" t="str">
        <x:v>Administrador / trabajador / cliente</x:v>
      </x:c>
      <x:c r="G16" s="2" t="str">
        <x:v>Alta</x:v>
      </x:c>
      <x:c r="H16" s="2" t="str">
        <x:v>OE2</x:v>
      </x:c>
      <x:c r="I16" s="2" t="str">
        <x:v>CU-015</x:v>
      </x:c>
      <x:c r="J16" s="2" t="str">
        <x:v>Registro cliente</x:v>
      </x:c>
      <x:c r="K16" s="2" t="str">
        <x:v>src/pages/Registro.tsx; customer.controller.ts</x:v>
      </x:c>
      <x:c r="L16" s="2" t="str">
        <x:v>clientes, usuarios</x:v>
      </x:c>
      <x:c r="M16" s="2" t="str">
        <x:v>POST /api/clientes</x:v>
      </x:c>
      <x:c r="N16" s="2" t="str">
        <x:v>CP-015</x:v>
      </x:c>
      <x:c r="O16" s="2" t="str">
        <x:v>Caja negra / validación</x:v>
      </x:c>
      <x:c r="P16" s="2" t="str">
        <x:v>Nombre, DNI, correo, teléfono y dirección</x:v>
      </x:c>
      <x:c r="Q16" s="2" t="str">
        <x:v>Cliente registrado sin duplicidad y con datos válidos</x:v>
      </x:c>
      <x:c r="R16" s="2" t="str">
        <x:v>EV-015 Captura cliente registrado</x:v>
      </x:c>
      <x:c r="S16" s="2" t="str">
        <x:v>Implementado</x:v>
      </x:c>
      <x:c r="T16" s="2" t="str">
        <x:v>Pendiente de evidencia</x:v>
      </x:c>
      <x:c r="U16" s="2" t="str">
        <x:v>Debe validar correo, DNI y campos obligatorios.</x:v>
      </x:c>
      <x:c r="V16" s="2" t="str">
        <x:v>Vincular con captura/código real antes de defensa final.</x:v>
      </x:c>
      <x:c r="W16" s="2" t="str">
        <x:v>Alto</x:v>
      </x:c>
      <x:c r="X16" s="2" t="str">
        <x:v>[05]; [06]</x:v>
      </x:c>
    </x:row>
    <x:row r="17">
      <x:c r="A17" s="2" t="str">
        <x:v>RF-016</x:v>
      </x:c>
      <x:c r="B17" s="2" t="str">
        <x:v>Funcional</x:v>
      </x:c>
      <x:c r="C17" s="2" t="str">
        <x:v>MP-06</x:v>
      </x:c>
      <x:c r="D17" s="2" t="str">
        <x:v>P-016</x:v>
      </x:c>
      <x:c r="E17" s="2" t="str">
        <x:v>El sistema debe permitir agregar productos al carrito de compras.</x:v>
      </x:c>
      <x:c r="F17" s="2" t="str">
        <x:v>Cliente</x:v>
      </x:c>
      <x:c r="G17" s="2" t="str">
        <x:v>Alta</x:v>
      </x:c>
      <x:c r="H17" s="2" t="str">
        <x:v>OE2</x:v>
      </x:c>
      <x:c r="I17" s="2" t="str">
        <x:v>CU-016</x:v>
      </x:c>
      <x:c r="J17" s="2" t="str">
        <x:v>Carrito</x:v>
      </x:c>
      <x:c r="K17" s="2" t="str">
        <x:v>src/pages/Carrito.tsx; cart.service.ts</x:v>
      </x:c>
      <x:c r="L17" s="2" t="str">
        <x:v>carrito, productos</x:v>
      </x:c>
      <x:c r="M17" s="2" t="str">
        <x:v>POST /api/carrito</x:v>
      </x:c>
      <x:c r="N17" s="2" t="str">
        <x:v>CP-016</x:v>
      </x:c>
      <x:c r="O17" s="2" t="str">
        <x:v>Caja negra / integración</x:v>
      </x:c>
      <x:c r="P17" s="2" t="str">
        <x:v>Producto, talla, color y cantidad</x:v>
      </x:c>
      <x:c r="Q17" s="2" t="str">
        <x:v>Producto agregado al carrito con subtotal correcto</x:v>
      </x:c>
      <x:c r="R17" s="2" t="str">
        <x:v>EV-016 Captura carrito</x:v>
      </x:c>
      <x:c r="S17" s="2" t="str">
        <x:v>Implementado</x:v>
      </x:c>
      <x:c r="T17" s="2" t="str">
        <x:v>Pendiente de evidencia</x:v>
      </x:c>
      <x:c r="U17" s="2" t="str">
        <x:v>Debe validar disponibilidad antes de agregar o confirmar.</x:v>
      </x:c>
      <x:c r="V17" s="2" t="str">
        <x:v>Vincular con captura/código real antes de defensa final.</x:v>
      </x:c>
      <x:c r="W17" s="2" t="str">
        <x:v>Alto</x:v>
      </x:c>
      <x:c r="X17" s="2" t="str">
        <x:v>[06]; [07]</x:v>
      </x:c>
    </x:row>
    <x:row r="18">
      <x:c r="A18" s="2" t="str">
        <x:v>RF-017</x:v>
      </x:c>
      <x:c r="B18" s="2" t="str">
        <x:v>Funcional</x:v>
      </x:c>
      <x:c r="C18" s="2" t="str">
        <x:v>MP-06</x:v>
      </x:c>
      <x:c r="D18" s="2" t="str">
        <x:v>P-017</x:v>
      </x:c>
      <x:c r="E18" s="2" t="str">
        <x:v>El sistema debe permitir registrar pedidos en línea.</x:v>
      </x:c>
      <x:c r="F18" s="2" t="str">
        <x:v>Cliente</x:v>
      </x:c>
      <x:c r="G18" s="2" t="str">
        <x:v>Alta</x:v>
      </x:c>
      <x:c r="H18" s="2" t="str">
        <x:v>OE2</x:v>
      </x:c>
      <x:c r="I18" s="2" t="str">
        <x:v>CU-017</x:v>
      </x:c>
      <x:c r="J18" s="2" t="str">
        <x:v>Checkout</x:v>
      </x:c>
      <x:c r="K18" s="2" t="str">
        <x:v>src/pages/Checkout.tsx; order.controller.ts</x:v>
      </x:c>
      <x:c r="L18" s="2" t="str">
        <x:v>pedidos, detalle_pedido, clientes</x:v>
      </x:c>
      <x:c r="M18" s="2" t="str">
        <x:v>POST /api/pedidos</x:v>
      </x:c>
      <x:c r="N18" s="2" t="str">
        <x:v>CP-017</x:v>
      </x:c>
      <x:c r="O18" s="2" t="str">
        <x:v>Caja negra / integración</x:v>
      </x:c>
      <x:c r="P18" s="2" t="str">
        <x:v>Carrito confirmado y datos de entrega</x:v>
      </x:c>
      <x:c r="Q18" s="2" t="str">
        <x:v>Pedido registrado con número, detalle y estado inicial</x:v>
      </x:c>
      <x:c r="R18" s="2" t="str">
        <x:v>EV-017 Captura pedido registrado</x:v>
      </x:c>
      <x:c r="S18" s="2" t="str">
        <x:v>Implementado</x:v>
      </x:c>
      <x:c r="T18" s="2" t="str">
        <x:v>Pendiente de evidencia</x:v>
      </x:c>
      <x:c r="U18" s="2" t="str">
        <x:v>Debe guardar cabecera y detalle del pedido.</x:v>
      </x:c>
      <x:c r="V18" s="2" t="str">
        <x:v>Vincular con captura/código real antes de defensa final.</x:v>
      </x:c>
      <x:c r="W18" s="2" t="str">
        <x:v>Alto</x:v>
      </x:c>
      <x:c r="X18" s="2" t="str">
        <x:v>[06]; [07]</x:v>
      </x:c>
    </x:row>
    <x:row r="19">
      <x:c r="A19" s="2" t="str">
        <x:v>RF-018</x:v>
      </x:c>
      <x:c r="B19" s="2" t="str">
        <x:v>Funcional</x:v>
      </x:c>
      <x:c r="C19" s="2" t="str">
        <x:v>MP-06</x:v>
      </x:c>
      <x:c r="D19" s="2" t="str">
        <x:v>P-018</x:v>
      </x:c>
      <x:c r="E19" s="2" t="str">
        <x:v>El sistema debe validar disponibilidad de stock antes de confirmar un pedido.</x:v>
      </x:c>
      <x:c r="F19" s="2" t="str">
        <x:v>Sistema</x:v>
      </x:c>
      <x:c r="G19" s="2" t="str">
        <x:v>Alta</x:v>
      </x:c>
      <x:c r="H19" s="2" t="str">
        <x:v>OE2</x:v>
      </x:c>
      <x:c r="I19" s="2" t="str">
        <x:v>CU-018</x:v>
      </x:c>
      <x:c r="J19" s="2" t="str">
        <x:v>Validación checkout</x:v>
      </x:c>
      <x:c r="K19" s="2" t="str">
        <x:v>src/services/stockValidator.ts; order.service.ts</x:v>
      </x:c>
      <x:c r="L19" s="2" t="str">
        <x:v>productos, inventario, detalle_pedido</x:v>
      </x:c>
      <x:c r="M19" s="2" t="str">
        <x:v>POST /api/pedidos/validar-stock</x:v>
      </x:c>
      <x:c r="N19" s="2" t="str">
        <x:v>CP-018</x:v>
      </x:c>
      <x:c r="O19" s="2" t="str">
        <x:v>Caja negra / regla de negocio</x:v>
      </x:c>
      <x:c r="P19" s="2" t="str">
        <x:v>Pedido con stock suficiente e insuficiente</x:v>
      </x:c>
      <x:c r="Q19" s="2" t="str">
        <x:v>Confirma si hay stock; bloquea si no hay disponibilidad</x:v>
      </x:c>
      <x:c r="R19" s="2" t="str">
        <x:v>EV-018 Captura error por stock insuficiente</x:v>
      </x:c>
      <x:c r="S19" s="2" t="str">
        <x:v>Implementado</x:v>
      </x:c>
      <x:c r="T19" s="2" t="str">
        <x:v>Pendiente de evidencia</x:v>
      </x:c>
      <x:c r="U19" s="2" t="str">
        <x:v>Debe evitar sobreventa.</x:v>
      </x:c>
      <x:c r="V19" s="2" t="str">
        <x:v>Vincular con captura/código real antes de defensa final.</x:v>
      </x:c>
      <x:c r="W19" s="2" t="str">
        <x:v>Alto</x:v>
      </x:c>
      <x:c r="X19" s="2" t="str">
        <x:v>[07]; [08]</x:v>
      </x:c>
    </x:row>
    <x:row r="20">
      <x:c r="A20" s="2" t="str">
        <x:v>RF-019</x:v>
      </x:c>
      <x:c r="B20" s="2" t="str">
        <x:v>Funcional</x:v>
      </x:c>
      <x:c r="C20" s="2" t="str">
        <x:v>MP-06</x:v>
      </x:c>
      <x:c r="D20" s="2" t="str">
        <x:v>P-019</x:v>
      </x:c>
      <x:c r="E20" s="2" t="str">
        <x:v>El sistema debe permitir actualizar el estado del pedido.</x:v>
      </x:c>
      <x:c r="F20" s="2" t="str">
        <x:v>Administrador / trabajador</x:v>
      </x:c>
      <x:c r="G20" s="2" t="str">
        <x:v>Alta</x:v>
      </x:c>
      <x:c r="H20" s="2" t="str">
        <x:v>OE2</x:v>
      </x:c>
      <x:c r="I20" s="2" t="str">
        <x:v>CU-019</x:v>
      </x:c>
      <x:c r="J20" s="2" t="str">
        <x:v>Gestión pedidos</x:v>
      </x:c>
      <x:c r="K20" s="2" t="str">
        <x:v>src/pages/admin/Pedidos.tsx; order.controller.ts</x:v>
      </x:c>
      <x:c r="L20" s="2" t="str">
        <x:v>pedidos, auditoria</x:v>
      </x:c>
      <x:c r="M20" s="2" t="str">
        <x:v>PATCH /api/pedidos/{id}/estado</x:v>
      </x:c>
      <x:c r="N20" s="2" t="str">
        <x:v>CP-019</x:v>
      </x:c>
      <x:c r="O20" s="2" t="str">
        <x:v>Caja negra</x:v>
      </x:c>
      <x:c r="P20" s="2" t="str">
        <x:v>Pedido pendiente y nuevo estado</x:v>
      </x:c>
      <x:c r="Q20" s="2" t="str">
        <x:v>El pedido cambia a confirmado, enviado, entregado o cancelado</x:v>
      </x:c>
      <x:c r="R20" s="2" t="str">
        <x:v>EV-019 Captura cambio de estado</x:v>
      </x:c>
      <x:c r="S20" s="2" t="str">
        <x:v>Implementado</x:v>
      </x:c>
      <x:c r="T20" s="2" t="str">
        <x:v>Pendiente de evidencia</x:v>
      </x:c>
      <x:c r="U20" s="2" t="str">
        <x:v>Debe conservar historial y auditar cambios.</x:v>
      </x:c>
      <x:c r="V20" s="2" t="str">
        <x:v>Vincular con captura/código real antes de defensa final.</x:v>
      </x:c>
      <x:c r="W20" s="2" t="str">
        <x:v>Medio</x:v>
      </x:c>
      <x:c r="X20" s="2" t="str">
        <x:v>[07]; [39]</x:v>
      </x:c>
    </x:row>
    <x:row r="21">
      <x:c r="A21" s="2" t="str">
        <x:v>RF-020</x:v>
      </x:c>
      <x:c r="B21" s="2" t="str">
        <x:v>Funcional</x:v>
      </x:c>
      <x:c r="C21" s="2" t="str">
        <x:v>MP-03</x:v>
      </x:c>
      <x:c r="D21" s="2" t="str">
        <x:v>P-020</x:v>
      </x:c>
      <x:c r="E21" s="2" t="str">
        <x:v>El sistema debe permitir registrar pagos asociados a ventas o pedidos.</x:v>
      </x:c>
      <x:c r="F21" s="2" t="str">
        <x:v>Administrador / trabajador / cliente</x:v>
      </x:c>
      <x:c r="G21" s="2" t="str">
        <x:v>Alta</x:v>
      </x:c>
      <x:c r="H21" s="2" t="str">
        <x:v>OE2</x:v>
      </x:c>
      <x:c r="I21" s="2" t="str">
        <x:v>CU-020</x:v>
      </x:c>
      <x:c r="J21" s="2" t="str">
        <x:v>Pagos</x:v>
      </x:c>
      <x:c r="K21" s="2" t="str">
        <x:v>src/pages/Pago.tsx; payment.controller.ts</x:v>
      </x:c>
      <x:c r="L21" s="2" t="str">
        <x:v>pagos, ventas, pedidos</x:v>
      </x:c>
      <x:c r="M21" s="2" t="str">
        <x:v>POST /api/pagos</x:v>
      </x:c>
      <x:c r="N21" s="2" t="str">
        <x:v>CP-020</x:v>
      </x:c>
      <x:c r="O21" s="2" t="str">
        <x:v>Caja negra / integración</x:v>
      </x:c>
      <x:c r="P21" s="2" t="str">
        <x:v>Método de pago, monto y operación asociada</x:v>
      </x:c>
      <x:c r="Q21" s="2" t="str">
        <x:v>Pago registrado y asociado a venta o pedido</x:v>
      </x:c>
      <x:c r="R21" s="2" t="str">
        <x:v>EV-020 Captura pago registrado</x:v>
      </x:c>
      <x:c r="S21" s="2" t="str">
        <x:v>Implementado</x:v>
      </x:c>
      <x:c r="T21" s="2" t="str">
        <x:v>Pendiente de evidencia</x:v>
      </x:c>
      <x:c r="U21" s="2" t="str">
        <x:v>Debe validar monto, método y operación relacionada.</x:v>
      </x:c>
      <x:c r="V21" s="2" t="str">
        <x:v>Vincular con captura/código real antes de defensa final.</x:v>
      </x:c>
      <x:c r="W21" s="2" t="str">
        <x:v>Alto</x:v>
      </x:c>
      <x:c r="X21" s="2" t="str">
        <x:v>[06]; [07]</x:v>
      </x:c>
    </x:row>
    <x:row r="22">
      <x:c r="A22" s="2" t="str">
        <x:v>RF-021</x:v>
      </x:c>
      <x:c r="B22" s="2" t="str">
        <x:v>Funcional</x:v>
      </x:c>
      <x:c r="C22" s="2" t="str">
        <x:v>MP-03</x:v>
      </x:c>
      <x:c r="D22" s="2" t="str">
        <x:v>P-021</x:v>
      </x:c>
      <x:c r="E22" s="2" t="str">
        <x:v>El sistema debe permitir emitir comprobante interno de venta o pedido.</x:v>
      </x:c>
      <x:c r="F22" s="2" t="str">
        <x:v>Administrador / vendedor</x:v>
      </x:c>
      <x:c r="G22" s="2" t="str">
        <x:v>Media</x:v>
      </x:c>
      <x:c r="H22" s="2" t="str">
        <x:v>OE2</x:v>
      </x:c>
      <x:c r="I22" s="2" t="str">
        <x:v>CU-021</x:v>
      </x:c>
      <x:c r="J22" s="2" t="str">
        <x:v>Comprobante</x:v>
      </x:c>
      <x:c r="K22" s="2" t="str">
        <x:v>src/pages/Comprobante.tsx; receipt.service.ts</x:v>
      </x:c>
      <x:c r="L22" s="2" t="str">
        <x:v>comprobantes, ventas, pedidos</x:v>
      </x:c>
      <x:c r="M22" s="2" t="str">
        <x:v>POST /api/comprobantes</x:v>
      </x:c>
      <x:c r="N22" s="2" t="str">
        <x:v>CP-021</x:v>
      </x:c>
      <x:c r="O22" s="2" t="str">
        <x:v>Caja negra</x:v>
      </x:c>
      <x:c r="P22" s="2" t="str">
        <x:v>Venta/pedido pagado</x:v>
      </x:c>
      <x:c r="Q22" s="2" t="str">
        <x:v>Comprobante generado con serie, número, fecha y total</x:v>
      </x:c>
      <x:c r="R22" s="2" t="str">
        <x:v>EV-021 Captura comprobante</x:v>
      </x:c>
      <x:c r="S22" s="2" t="str">
        <x:v>En desarrollo</x:v>
      </x:c>
      <x:c r="T22" s="2" t="str">
        <x:v>Diseñado</x:v>
      </x:c>
      <x:c r="U22" s="2" t="str">
        <x:v>No reemplaza facturación electrónica avanzada si no hay integración SUNAT.</x:v>
      </x:c>
      <x:c r="V22" s="2" t="str">
        <x:v>Vincular con captura/código real antes de defensa final.</x:v>
      </x:c>
      <x:c r="W22" s="2" t="str">
        <x:v>Medio</x:v>
      </x:c>
      <x:c r="X22" s="2" t="str">
        <x:v>[07]</x:v>
      </x:c>
    </x:row>
    <x:row r="23">
      <x:c r="A23" s="2" t="str">
        <x:v>RF-022</x:v>
      </x:c>
      <x:c r="B23" s="2" t="str">
        <x:v>Funcional</x:v>
      </x:c>
      <x:c r="C23" s="2" t="str">
        <x:v>MP-03</x:v>
      </x:c>
      <x:c r="D23" s="2" t="str">
        <x:v>P-022</x:v>
      </x:c>
      <x:c r="E23" s="2" t="str">
        <x:v>El sistema debe permitir registrar ventas presenciales.</x:v>
      </x:c>
      <x:c r="F23" s="2" t="str">
        <x:v>Vendedor / administrador</x:v>
      </x:c>
      <x:c r="G23" s="2" t="str">
        <x:v>Alta</x:v>
      </x:c>
      <x:c r="H23" s="2" t="str">
        <x:v>OE2</x:v>
      </x:c>
      <x:c r="I23" s="2" t="str">
        <x:v>CU-022</x:v>
      </x:c>
      <x:c r="J23" s="2" t="str">
        <x:v>Nueva venta</x:v>
      </x:c>
      <x:c r="K23" s="2" t="str">
        <x:v>src/pages/admin/Ventas.tsx; sale.controller.ts</x:v>
      </x:c>
      <x:c r="L23" s="2" t="str">
        <x:v>ventas, detalle_venta, clientes</x:v>
      </x:c>
      <x:c r="M23" s="2" t="str">
        <x:v>POST /api/ventas</x:v>
      </x:c>
      <x:c r="N23" s="2" t="str">
        <x:v>CP-022</x:v>
      </x:c>
      <x:c r="O23" s="2" t="str">
        <x:v>Caja negra / integración</x:v>
      </x:c>
      <x:c r="P23" s="2" t="str">
        <x:v>Cliente, productos, cantidades y método de pago</x:v>
      </x:c>
      <x:c r="Q23" s="2" t="str">
        <x:v>Venta registrada con detalle y total calculado</x:v>
      </x:c>
      <x:c r="R23" s="2" t="str">
        <x:v>EV-022 Captura venta y detalle</x:v>
      </x:c>
      <x:c r="S23" s="2" t="str">
        <x:v>Implementado</x:v>
      </x:c>
      <x:c r="T23" s="2" t="str">
        <x:v>Pendiente de evidencia</x:v>
      </x:c>
      <x:c r="U23" s="2" t="str">
        <x:v>Debe guardar cabecera, detalle y responsable.</x:v>
      </x:c>
      <x:c r="V23" s="2" t="str">
        <x:v>Vincular con captura/código real antes de defensa final.</x:v>
      </x:c>
      <x:c r="W23" s="2" t="str">
        <x:v>Alto</x:v>
      </x:c>
      <x:c r="X23" s="2" t="str">
        <x:v>[07]; [08]</x:v>
      </x:c>
    </x:row>
    <x:row r="24">
      <x:c r="A24" s="2" t="str">
        <x:v>RF-023</x:v>
      </x:c>
      <x:c r="B24" s="2" t="str">
        <x:v>Funcional</x:v>
      </x:c>
      <x:c r="C24" s="2" t="str">
        <x:v>MP-03</x:v>
      </x:c>
      <x:c r="D24" s="2" t="str">
        <x:v>P-023</x:v>
      </x:c>
      <x:c r="E24" s="2" t="str">
        <x:v>El sistema debe calcular subtotal, descuentos, total y método de pago en ventas.</x:v>
      </x:c>
      <x:c r="F24" s="2" t="str">
        <x:v>Sistema</x:v>
      </x:c>
      <x:c r="G24" s="2" t="str">
        <x:v>Alta</x:v>
      </x:c>
      <x:c r="H24" s="2" t="str">
        <x:v>OE2</x:v>
      </x:c>
      <x:c r="I24" s="2" t="str">
        <x:v>CU-023</x:v>
      </x:c>
      <x:c r="J24" s="2" t="str">
        <x:v>Cálculo venta</x:v>
      </x:c>
      <x:c r="K24" s="2" t="str">
        <x:v>src/utils/calcularTotalVenta.ts; sale.service.ts</x:v>
      </x:c>
      <x:c r="L24" s="2" t="str">
        <x:v>ventas, detalle_venta, pagos</x:v>
      </x:c>
      <x:c r="M24" s="2" t="str">
        <x:v>POST /api/ventas/calcular</x:v>
      </x:c>
      <x:c r="N24" s="2" t="str">
        <x:v>CP-023</x:v>
      </x:c>
      <x:c r="O24" s="2" t="str">
        <x:v>Caja blanca / caja negra</x:v>
      </x:c>
      <x:c r="P24" s="2" t="str">
        <x:v>Cantidad, precio unitario y descuento</x:v>
      </x:c>
      <x:c r="Q24" s="2" t="str">
        <x:v>El total coincide con la operación matemática esperada</x:v>
      </x:c>
      <x:c r="R24" s="2" t="str">
        <x:v>EV-023 Captura cálculo y validación</x:v>
      </x:c>
      <x:c r="S24" s="2" t="str">
        <x:v>Implementado</x:v>
      </x:c>
      <x:c r="T24" s="2" t="str">
        <x:v>Pendiente de evidencia</x:v>
      </x:c>
      <x:c r="U24" s="2" t="str">
        <x:v>Debe evitar errores de redondeo y descuentos no autorizados.</x:v>
      </x:c>
      <x:c r="V24" s="2" t="str">
        <x:v>Vincular con captura/código real antes de defensa final.</x:v>
      </x:c>
      <x:c r="W24" s="2" t="str">
        <x:v>Alto</x:v>
      </x:c>
      <x:c r="X24" s="2" t="str">
        <x:v>[37]; [39]</x:v>
      </x:c>
    </x:row>
    <x:row r="25">
      <x:c r="A25" s="2" t="str">
        <x:v>RF-024</x:v>
      </x:c>
      <x:c r="B25" s="2" t="str">
        <x:v>Funcional</x:v>
      </x:c>
      <x:c r="C25" s="2" t="str">
        <x:v>MP-05</x:v>
      </x:c>
      <x:c r="D25" s="2" t="str">
        <x:v>P-024</x:v>
      </x:c>
      <x:c r="E25" s="2" t="str">
        <x:v>El sistema debe descontar automáticamente stock cuando se confirma una venta.</x:v>
      </x:c>
      <x:c r="F25" s="2" t="str">
        <x:v>Sistema</x:v>
      </x:c>
      <x:c r="G25" s="2" t="str">
        <x:v>Alta</x:v>
      </x:c>
      <x:c r="H25" s="2" t="str">
        <x:v>OE2</x:v>
      </x:c>
      <x:c r="I25" s="2" t="str">
        <x:v>CU-024</x:v>
      </x:c>
      <x:c r="J25" s="2" t="str">
        <x:v>Descuento stock por venta</x:v>
      </x:c>
      <x:c r="K25" s="2" t="str">
        <x:v>src/services/inventoryMovement.service.ts</x:v>
      </x:c>
      <x:c r="L25" s="2" t="str">
        <x:v>ventas, detalle_venta, productos, movimientos_inventario</x:v>
      </x:c>
      <x:c r="M25" s="2" t="str">
        <x:v>POST /api/ventas/confirmar</x:v>
      </x:c>
      <x:c r="N25" s="2" t="str">
        <x:v>CP-024</x:v>
      </x:c>
      <x:c r="O25" s="2" t="str">
        <x:v>Integración / regla de negocio</x:v>
      </x:c>
      <x:c r="P25" s="2" t="str">
        <x:v>Venta con producto y cantidad válida</x:v>
      </x:c>
      <x:c r="Q25" s="2" t="str">
        <x:v>Stock disminuye y queda movimiento de salida</x:v>
      </x:c>
      <x:c r="R25" s="2" t="str">
        <x:v>EV-024 Captura stock antes/después</x:v>
      </x:c>
      <x:c r="S25" s="2" t="str">
        <x:v>Implementado</x:v>
      </x:c>
      <x:c r="T25" s="2" t="str">
        <x:v>Pendiente de evidencia</x:v>
      </x:c>
      <x:c r="U25" s="2" t="str">
        <x:v>Debe ejecutarse dentro de transacción lógica para conservar integridad.</x:v>
      </x:c>
      <x:c r="V25" s="2" t="str">
        <x:v>Vincular con captura/código real antes de defensa final.</x:v>
      </x:c>
      <x:c r="W25" s="2" t="str">
        <x:v>Alto</x:v>
      </x:c>
      <x:c r="X25" s="2" t="str">
        <x:v>[07]; [39]</x:v>
      </x:c>
    </x:row>
    <x:row r="26">
      <x:c r="A26" s="2" t="str">
        <x:v>RF-025</x:v>
      </x:c>
      <x:c r="B26" s="2" t="str">
        <x:v>Funcional</x:v>
      </x:c>
      <x:c r="C26" s="2" t="str">
        <x:v>MP-08</x:v>
      </x:c>
      <x:c r="D26" s="2" t="str">
        <x:v>P-025</x:v>
      </x:c>
      <x:c r="E26" s="2" t="str">
        <x:v>El sistema debe registrar devolución o cambio de producto cuando corresponda.</x:v>
      </x:c>
      <x:c r="F26" s="2" t="str">
        <x:v>Administrador / vendedor</x:v>
      </x:c>
      <x:c r="G26" s="2" t="str">
        <x:v>Media</x:v>
      </x:c>
      <x:c r="H26" s="2" t="str">
        <x:v>OE2</x:v>
      </x:c>
      <x:c r="I26" s="2" t="str">
        <x:v>CU-025</x:v>
      </x:c>
      <x:c r="J26" s="2" t="str">
        <x:v>Devoluciones</x:v>
      </x:c>
      <x:c r="K26" s="2" t="str">
        <x:v>src/pages/admin/Devoluciones.tsx; return.controller.ts</x:v>
      </x:c>
      <x:c r="L26" s="2" t="str">
        <x:v>devoluciones, ventas, productos, inventario</x:v>
      </x:c>
      <x:c r="M26" s="2" t="str">
        <x:v>POST /api/devoluciones</x:v>
      </x:c>
      <x:c r="N26" s="2" t="str">
        <x:v>CP-025</x:v>
      </x:c>
      <x:c r="O26" s="2" t="str">
        <x:v>Caja negra / integración</x:v>
      </x:c>
      <x:c r="P26" s="2" t="str">
        <x:v>Venta, producto, motivo y cantidad</x:v>
      </x:c>
      <x:c r="Q26" s="2" t="str">
        <x:v>Devolución registrada y stock ajustado según política</x:v>
      </x:c>
      <x:c r="R26" s="2" t="str">
        <x:v>EV-025 Captura devolución</x:v>
      </x:c>
      <x:c r="S26" s="2" t="str">
        <x:v>En desarrollo</x:v>
      </x:c>
      <x:c r="T26" s="2" t="str">
        <x:v>Diseñado</x:v>
      </x:c>
      <x:c r="U26" s="2" t="str">
        <x:v>Debe registrar motivo y responsable.</x:v>
      </x:c>
      <x:c r="V26" s="2" t="str">
        <x:v>Vincular con captura/código real antes de defensa final.</x:v>
      </x:c>
      <x:c r="W26" s="2" t="str">
        <x:v>Medio</x:v>
      </x:c>
      <x:c r="X26" s="2" t="str">
        <x:v>[07]; [08]</x:v>
      </x:c>
    </x:row>
    <x:row r="27">
      <x:c r="A27" s="2" t="str">
        <x:v>RF-026</x:v>
      </x:c>
      <x:c r="B27" s="2" t="str">
        <x:v>Funcional</x:v>
      </x:c>
      <x:c r="C27" s="2" t="str">
        <x:v>MP-09</x:v>
      </x:c>
      <x:c r="D27" s="2" t="str">
        <x:v>P-026</x:v>
      </x:c>
      <x:c r="E27" s="2" t="str">
        <x:v>El sistema debe permitir registrar proveedores.</x:v>
      </x:c>
      <x:c r="F27" s="2" t="str">
        <x:v>Administrador</x:v>
      </x:c>
      <x:c r="G27" s="2" t="str">
        <x:v>Media</x:v>
      </x:c>
      <x:c r="H27" s="2" t="str">
        <x:v>OE2</x:v>
      </x:c>
      <x:c r="I27" s="2" t="str">
        <x:v>CU-026</x:v>
      </x:c>
      <x:c r="J27" s="2" t="str">
        <x:v>Proveedores</x:v>
      </x:c>
      <x:c r="K27" s="2" t="str">
        <x:v>src/pages/admin/Proveedores.tsx; supplier.controller.ts</x:v>
      </x:c>
      <x:c r="L27" s="2" t="str">
        <x:v>proveedores</x:v>
      </x:c>
      <x:c r="M27" s="2" t="str">
        <x:v>POST /api/proveedores</x:v>
      </x:c>
      <x:c r="N27" s="2" t="str">
        <x:v>CP-026</x:v>
      </x:c>
      <x:c r="O27" s="2" t="str">
        <x:v>Caja negra</x:v>
      </x:c>
      <x:c r="P27" s="2" t="str">
        <x:v>RUC/razón social/contacto</x:v>
      </x:c>
      <x:c r="Q27" s="2" t="str">
        <x:v>Proveedor registrado sin duplicidad</x:v>
      </x:c>
      <x:c r="R27" s="2" t="str">
        <x:v>EV-026 Captura proveedor</x:v>
      </x:c>
      <x:c r="S27" s="2" t="str">
        <x:v>En desarrollo</x:v>
      </x:c>
      <x:c r="T27" s="2" t="str">
        <x:v>Diseñado</x:v>
      </x:c>
      <x:c r="U27" s="2" t="str">
        <x:v>Debe validar datos mínimos de contacto.</x:v>
      </x:c>
      <x:c r="V27" s="2" t="str">
        <x:v>Vincular con captura/código real antes de defensa final.</x:v>
      </x:c>
      <x:c r="W27" s="2" t="str">
        <x:v>Bajo</x:v>
      </x:c>
      <x:c r="X27" s="2" t="str">
        <x:v>[07]</x:v>
      </x:c>
    </x:row>
    <x:row r="28">
      <x:c r="A28" s="2" t="str">
        <x:v>RF-027</x:v>
      </x:c>
      <x:c r="B28" s="2" t="str">
        <x:v>Funcional</x:v>
      </x:c>
      <x:c r="C28" s="2" t="str">
        <x:v>MP-09</x:v>
      </x:c>
      <x:c r="D28" s="2" t="str">
        <x:v>P-027</x:v>
      </x:c>
      <x:c r="E28" s="2" t="str">
        <x:v>El sistema debe permitir registrar compras de mercadería vinculadas a proveedores.</x:v>
      </x:c>
      <x:c r="F28" s="2" t="str">
        <x:v>Administrador / almacenero</x:v>
      </x:c>
      <x:c r="G28" s="2" t="str">
        <x:v>Media</x:v>
      </x:c>
      <x:c r="H28" s="2" t="str">
        <x:v>OE2</x:v>
      </x:c>
      <x:c r="I28" s="2" t="str">
        <x:v>CU-027</x:v>
      </x:c>
      <x:c r="J28" s="2" t="str">
        <x:v>Compras</x:v>
      </x:c>
      <x:c r="K28" s="2" t="str">
        <x:v>src/pages/admin/Compras.tsx; purchase.controller.ts</x:v>
      </x:c>
      <x:c r="L28" s="2" t="str">
        <x:v>compras, detalle_compra, proveedores, inventario</x:v>
      </x:c>
      <x:c r="M28" s="2" t="str">
        <x:v>POST /api/compras</x:v>
      </x:c>
      <x:c r="N28" s="2" t="str">
        <x:v>CP-027</x:v>
      </x:c>
      <x:c r="O28" s="2" t="str">
        <x:v>Integración</x:v>
      </x:c>
      <x:c r="P28" s="2" t="str">
        <x:v>Proveedor, productos y cantidades</x:v>
      </x:c>
      <x:c r="Q28" s="2" t="str">
        <x:v>Compra registrada y stock actualizado por entrada</x:v>
      </x:c>
      <x:c r="R28" s="2" t="str">
        <x:v>EV-027 Captura compra y entrada stock</x:v>
      </x:c>
      <x:c r="S28" s="2" t="str">
        <x:v>En desarrollo</x:v>
      </x:c>
      <x:c r="T28" s="2" t="str">
        <x:v>Diseñado</x:v>
      </x:c>
      <x:c r="U28" s="2" t="str">
        <x:v>Debe integrarse con inventario.</x:v>
      </x:c>
      <x:c r="V28" s="2" t="str">
        <x:v>Vincular con captura/código real antes de defensa final.</x:v>
      </x:c>
      <x:c r="W28" s="2" t="str">
        <x:v>Medio</x:v>
      </x:c>
      <x:c r="X28" s="2" t="str">
        <x:v>[07]; [08]</x:v>
      </x:c>
    </x:row>
    <x:row r="29">
      <x:c r="A29" s="2" t="str">
        <x:v>RF-028</x:v>
      </x:c>
      <x:c r="B29" s="2" t="str">
        <x:v>Funcional</x:v>
      </x:c>
      <x:c r="C29" s="2" t="str">
        <x:v>MP-08</x:v>
      </x:c>
      <x:c r="D29" s="2" t="str">
        <x:v>P-028</x:v>
      </x:c>
      <x:c r="E29" s="2" t="str">
        <x:v>El sistema debe permitir consultar historial de compras o pedidos del cliente.</x:v>
      </x:c>
      <x:c r="F29" s="2" t="str">
        <x:v>Administrador / trabajador / cliente</x:v>
      </x:c>
      <x:c r="G29" s="2" t="str">
        <x:v>Media</x:v>
      </x:c>
      <x:c r="H29" s="2" t="str">
        <x:v>OE2</x:v>
      </x:c>
      <x:c r="I29" s="2" t="str">
        <x:v>CU-028</x:v>
      </x:c>
      <x:c r="J29" s="2" t="str">
        <x:v>Historial cliente</x:v>
      </x:c>
      <x:c r="K29" s="2" t="str">
        <x:v>src/pages/admin/Clientes.tsx; customer.service.ts</x:v>
      </x:c>
      <x:c r="L29" s="2" t="str">
        <x:v>clientes, ventas, pedidos</x:v>
      </x:c>
      <x:c r="M29" s="2" t="str">
        <x:v>GET /api/clientes/{id}/historial</x:v>
      </x:c>
      <x:c r="N29" s="2" t="str">
        <x:v>CP-028</x:v>
      </x:c>
      <x:c r="O29" s="2" t="str">
        <x:v>Caja negra</x:v>
      </x:c>
      <x:c r="P29" s="2" t="str">
        <x:v>Cliente registrado</x:v>
      </x:c>
      <x:c r="Q29" s="2" t="str">
        <x:v>Muestra ventas, pedidos y pagos asociados</x:v>
      </x:c>
      <x:c r="R29" s="2" t="str">
        <x:v>EV-028 Captura historial cliente</x:v>
      </x:c>
      <x:c r="S29" s="2" t="str">
        <x:v>Implementado</x:v>
      </x:c>
      <x:c r="T29" s="2" t="str">
        <x:v>Pendiente de evidencia</x:v>
      </x:c>
      <x:c r="U29" s="2" t="str">
        <x:v>Debe respetar permisos según rol.</x:v>
      </x:c>
      <x:c r="V29" s="2" t="str">
        <x:v>Vincular con captura/código real antes de defensa final.</x:v>
      </x:c>
      <x:c r="W29" s="2" t="str">
        <x:v>Medio</x:v>
      </x:c>
      <x:c r="X29" s="2" t="str">
        <x:v>[05]; [06]</x:v>
      </x:c>
    </x:row>
    <x:row r="30">
      <x:c r="A30" s="2" t="str">
        <x:v>RF-029</x:v>
      </x:c>
      <x:c r="B30" s="2" t="str">
        <x:v>Funcional</x:v>
      </x:c>
      <x:c r="C30" s="2" t="str">
        <x:v>MP-10</x:v>
      </x:c>
      <x:c r="D30" s="2" t="str">
        <x:v>P-029</x:v>
      </x:c>
      <x:c r="E30" s="2" t="str">
        <x:v>El sistema debe generar reporte de ventas por periodo.</x:v>
      </x:c>
      <x:c r="F30" s="2" t="str">
        <x:v>Administrador / gerente</x:v>
      </x:c>
      <x:c r="G30" s="2" t="str">
        <x:v>Alta</x:v>
      </x:c>
      <x:c r="H30" s="2" t="str">
        <x:v>OE4</x:v>
      </x:c>
      <x:c r="I30" s="2" t="str">
        <x:v>CU-029</x:v>
      </x:c>
      <x:c r="J30" s="2" t="str">
        <x:v>Reporte ventas</x:v>
      </x:c>
      <x:c r="K30" s="2" t="str">
        <x:v>src/pages/admin/Reportes.tsx; report.controller.ts</x:v>
      </x:c>
      <x:c r="L30" s="2" t="str">
        <x:v>ventas, detalle_venta, productos</x:v>
      </x:c>
      <x:c r="M30" s="2" t="str">
        <x:v>GET /api/reportes/ventas</x:v>
      </x:c>
      <x:c r="N30" s="2" t="str">
        <x:v>CP-029</x:v>
      </x:c>
      <x:c r="O30" s="2" t="str">
        <x:v>Caja negra / consulta BD</x:v>
      </x:c>
      <x:c r="P30" s="2" t="str">
        <x:v>Rango de fechas</x:v>
      </x:c>
      <x:c r="Q30" s="2" t="str">
        <x:v>Reporte muestra ventas, totales y cantidades por periodo</x:v>
      </x:c>
      <x:c r="R30" s="2" t="str">
        <x:v>EV-029 Captura reporte ventas</x:v>
      </x:c>
      <x:c r="S30" s="2" t="str">
        <x:v>Implementado</x:v>
      </x:c>
      <x:c r="T30" s="2" t="str">
        <x:v>Pendiente de evidencia</x:v>
      </x:c>
      <x:c r="U30" s="2" t="str">
        <x:v>Debe filtrar correctamente por fecha.</x:v>
      </x:c>
      <x:c r="V30" s="2" t="str">
        <x:v>Vincular con captura/código real antes de defensa final.</x:v>
      </x:c>
      <x:c r="W30" s="2" t="str">
        <x:v>Alto</x:v>
      </x:c>
      <x:c r="X30" s="2" t="str">
        <x:v>[12]; [14]</x:v>
      </x:c>
    </x:row>
    <x:row r="31">
      <x:c r="A31" s="2" t="str">
        <x:v>RF-030</x:v>
      </x:c>
      <x:c r="B31" s="2" t="str">
        <x:v>Funcional</x:v>
      </x:c>
      <x:c r="C31" s="2" t="str">
        <x:v>MP-10</x:v>
      </x:c>
      <x:c r="D31" s="2" t="str">
        <x:v>P-030</x:v>
      </x:c>
      <x:c r="E31" s="2" t="str">
        <x:v>El sistema debe generar reporte de productos más vendidos.</x:v>
      </x:c>
      <x:c r="F31" s="2" t="str">
        <x:v>Administrador / gerente</x:v>
      </x:c>
      <x:c r="G31" s="2" t="str">
        <x:v>Alta</x:v>
      </x:c>
      <x:c r="H31" s="2" t="str">
        <x:v>OE4</x:v>
      </x:c>
      <x:c r="I31" s="2" t="str">
        <x:v>CU-030</x:v>
      </x:c>
      <x:c r="J31" s="2" t="str">
        <x:v>Reporte productos</x:v>
      </x:c>
      <x:c r="K31" s="2" t="str">
        <x:v>src/pages/admin/Reportes.tsx; report.service.ts</x:v>
      </x:c>
      <x:c r="L31" s="2" t="str">
        <x:v>ventas, detalle_venta, productos</x:v>
      </x:c>
      <x:c r="M31" s="2" t="str">
        <x:v>GET /api/reportes/productos-mas-vendidos</x:v>
      </x:c>
      <x:c r="N31" s="2" t="str">
        <x:v>CP-030</x:v>
      </x:c>
      <x:c r="O31" s="2" t="str">
        <x:v>Caja negra / consulta BD</x:v>
      </x:c>
      <x:c r="P31" s="2" t="str">
        <x:v>Rango de fechas y categoría</x:v>
      </x:c>
      <x:c r="Q31" s="2" t="str">
        <x:v>Reporte ordena productos por cantidad vendida</x:v>
      </x:c>
      <x:c r="R31" s="2" t="str">
        <x:v>EV-030 Captura productos más vendidos</x:v>
      </x:c>
      <x:c r="S31" s="2" t="str">
        <x:v>Implementado</x:v>
      </x:c>
      <x:c r="T31" s="2" t="str">
        <x:v>Pendiente de evidencia</x:v>
      </x:c>
      <x:c r="U31" s="2" t="str">
        <x:v>Debe agrupar por producto/SKU.</x:v>
      </x:c>
      <x:c r="V31" s="2" t="str">
        <x:v>Vincular con captura/código real antes de defensa final.</x:v>
      </x:c>
      <x:c r="W31" s="2" t="str">
        <x:v>Medio</x:v>
      </x:c>
      <x:c r="X31" s="2" t="str">
        <x:v>[07]; [14]</x:v>
      </x:c>
    </x:row>
    <x:row r="32">
      <x:c r="A32" s="2" t="str">
        <x:v>RF-031</x:v>
      </x:c>
      <x:c r="B32" s="2" t="str">
        <x:v>Funcional</x:v>
      </x:c>
      <x:c r="C32" s="2" t="str">
        <x:v>MP-10</x:v>
      </x:c>
      <x:c r="D32" s="2" t="str">
        <x:v>P-031</x:v>
      </x:c>
      <x:c r="E32" s="2" t="str">
        <x:v>El sistema debe generar reporte de stock crítico.</x:v>
      </x:c>
      <x:c r="F32" s="2" t="str">
        <x:v>Administrador / gerente</x:v>
      </x:c>
      <x:c r="G32" s="2" t="str">
        <x:v>Alta</x:v>
      </x:c>
      <x:c r="H32" s="2" t="str">
        <x:v>OE4</x:v>
      </x:c>
      <x:c r="I32" s="2" t="str">
        <x:v>CU-031</x:v>
      </x:c>
      <x:c r="J32" s="2" t="str">
        <x:v>Reporte stock crítico</x:v>
      </x:c>
      <x:c r="K32" s="2" t="str">
        <x:v>src/pages/admin/Reportes.tsx; inventory.service.ts</x:v>
      </x:c>
      <x:c r="L32" s="2" t="str">
        <x:v>productos, inventario</x:v>
      </x:c>
      <x:c r="M32" s="2" t="str">
        <x:v>GET /api/reportes/stock-critico</x:v>
      </x:c>
      <x:c r="N32" s="2" t="str">
        <x:v>CP-031</x:v>
      </x:c>
      <x:c r="O32" s="2" t="str">
        <x:v>Caja negra</x:v>
      </x:c>
      <x:c r="P32" s="2" t="str">
        <x:v>Consulta de inventario</x:v>
      </x:c>
      <x:c r="Q32" s="2" t="str">
        <x:v>Lista productos con stock &lt;= mínimo</x:v>
      </x:c>
      <x:c r="R32" s="2" t="str">
        <x:v>EV-031 Captura stock crítico</x:v>
      </x:c>
      <x:c r="S32" s="2" t="str">
        <x:v>Implementado</x:v>
      </x:c>
      <x:c r="T32" s="2" t="str">
        <x:v>Pendiente de evidencia</x:v>
      </x:c>
      <x:c r="U32" s="2" t="str">
        <x:v>Debe coincidir con alertas de stock mínimo.</x:v>
      </x:c>
      <x:c r="V32" s="2" t="str">
        <x:v>Vincular con captura/código real antes de defensa final.</x:v>
      </x:c>
      <x:c r="W32" s="2" t="str">
        <x:v>Alto</x:v>
      </x:c>
      <x:c r="X32" s="2" t="str">
        <x:v>[07]; [14]</x:v>
      </x:c>
    </x:row>
    <x:row r="33">
      <x:c r="A33" s="2" t="str">
        <x:v>RF-032</x:v>
      </x:c>
      <x:c r="B33" s="2" t="str">
        <x:v>Funcional</x:v>
      </x:c>
      <x:c r="C33" s="2" t="str">
        <x:v>MP-10</x:v>
      </x:c>
      <x:c r="D33" s="2" t="str">
        <x:v>P-032</x:v>
      </x:c>
      <x:c r="E33" s="2" t="str">
        <x:v>El sistema debe preparar datos históricos para el modelo de IA.</x:v>
      </x:c>
      <x:c r="F33" s="2" t="str">
        <x:v>Sistema / administrador</x:v>
      </x:c>
      <x:c r="G33" s="2" t="str">
        <x:v>Alta</x:v>
      </x:c>
      <x:c r="H33" s="2" t="str">
        <x:v>OE3</x:v>
      </x:c>
      <x:c r="I33" s="2" t="str">
        <x:v>CU-032</x:v>
      </x:c>
      <x:c r="J33" s="2" t="str">
        <x:v>Preparación datos IA</x:v>
      </x:c>
      <x:c r="K33" s="2" t="str">
        <x:v>src/services/aiDataset.service.ts; notebooks/preprocessing.ipynb</x:v>
      </x:c>
      <x:c r="L33" s="2" t="str">
        <x:v>ventas, detalle_venta, productos, inventario, dataset_ia</x:v>
      </x:c>
      <x:c r="M33" s="2" t="str">
        <x:v>POST /api/ia/preparar-datos</x:v>
      </x:c>
      <x:c r="N33" s="2" t="str">
        <x:v>CP-032</x:v>
      </x:c>
      <x:c r="O33" s="2" t="str">
        <x:v>Caja blanca / calidad de datos</x:v>
      </x:c>
      <x:c r="P33" s="2" t="str">
        <x:v>Datos históricos de ventas e inventario</x:v>
      </x:c>
      <x:c r="Q33" s="2" t="str">
        <x:v>Dataset generado sin nulos críticos y con variables requeridas</x:v>
      </x:c>
      <x:c r="R33" s="2" t="str">
        <x:v>EV-032 Captura dataset/registro de preparación</x:v>
      </x:c>
      <x:c r="S33" s="2" t="str">
        <x:v>Implementado</x:v>
      </x:c>
      <x:c r="T33" s="2" t="str">
        <x:v>Pendiente de evidencia</x:v>
      </x:c>
      <x:c r="U33" s="2" t="str">
        <x:v>Debe validar completitud, consistencia y rango de variables.</x:v>
      </x:c>
      <x:c r="V33" s="2" t="str">
        <x:v>Vincular con captura/código real antes de defensa final.</x:v>
      </x:c>
      <x:c r="W33" s="2" t="str">
        <x:v>Alto</x:v>
      </x:c>
      <x:c r="X33" s="2" t="str">
        <x:v>[09]; [13]; [14]; [41]</x:v>
      </x:c>
    </x:row>
    <x:row r="34">
      <x:c r="A34" s="2" t="str">
        <x:v>RF-033</x:v>
      </x:c>
      <x:c r="B34" s="2" t="str">
        <x:v>Funcional</x:v>
      </x:c>
      <x:c r="C34" s="2" t="str">
        <x:v>MP-10</x:v>
      </x:c>
      <x:c r="D34" s="2" t="str">
        <x:v>P-033</x:v>
      </x:c>
      <x:c r="E34" s="2" t="str">
        <x:v>El sistema debe calcular indicadores de ventas, inventario, demanda y margen para el análisis de riesgo.</x:v>
      </x:c>
      <x:c r="F34" s="2" t="str">
        <x:v>Sistema</x:v>
      </x:c>
      <x:c r="G34" s="2" t="str">
        <x:v>Alta</x:v>
      </x:c>
      <x:c r="H34" s="2" t="str">
        <x:v>OE3</x:v>
      </x:c>
      <x:c r="I34" s="2" t="str">
        <x:v>CU-033</x:v>
      </x:c>
      <x:c r="J34" s="2" t="str">
        <x:v>Indicadores riesgo</x:v>
      </x:c>
      <x:c r="K34" s="2" t="str">
        <x:v>src/services/riskIndicators.service.ts</x:v>
      </x:c>
      <x:c r="L34" s="2" t="str">
        <x:v>ventas, inventario, productos, indicadores_riesgo</x:v>
      </x:c>
      <x:c r="M34" s="2" t="str">
        <x:v>POST /api/ia/indicadores</x:v>
      </x:c>
      <x:c r="N34" s="2" t="str">
        <x:v>CP-033</x:v>
      </x:c>
      <x:c r="O34" s="2" t="str">
        <x:v>Caja blanca / integración</x:v>
      </x:c>
      <x:c r="P34" s="2" t="str">
        <x:v>Ventas, costos, stock y demanda</x:v>
      </x:c>
      <x:c r="Q34" s="2" t="str">
        <x:v>Indicadores calculados correctamente por periodo</x:v>
      </x:c>
      <x:c r="R34" s="2" t="str">
        <x:v>EV-033 Captura indicadores o tabla BD</x:v>
      </x:c>
      <x:c r="S34" s="2" t="str">
        <x:v>Implementado</x:v>
      </x:c>
      <x:c r="T34" s="2" t="str">
        <x:v>Pendiente de evidencia</x:v>
      </x:c>
      <x:c r="U34" s="2" t="str">
        <x:v>Debe documentar fórmula de cada indicador.</x:v>
      </x:c>
      <x:c r="V34" s="2" t="str">
        <x:v>Vincular con captura/código real antes de defensa final.</x:v>
      </x:c>
      <x:c r="W34" s="2" t="str">
        <x:v>Alto</x:v>
      </x:c>
      <x:c r="X34" s="2" t="str">
        <x:v>[12]; [18]; [21]; [22]</x:v>
      </x:c>
    </x:row>
    <x:row r="35">
      <x:c r="A35" s="2" t="str">
        <x:v>RF-034</x:v>
      </x:c>
      <x:c r="B35" s="2" t="str">
        <x:v>Funcional</x:v>
      </x:c>
      <x:c r="C35" s="2" t="str">
        <x:v>MP-10</x:v>
      </x:c>
      <x:c r="D35" s="2" t="str">
        <x:v>P-034</x:v>
      </x:c>
      <x:c r="E35" s="2" t="str">
        <x:v>El sistema debe ejecutar la predicción de demanda o riesgo empresarial mediante el modelo de IA configurado.</x:v>
      </x:c>
      <x:c r="F35" s="2" t="str">
        <x:v>Administrador / gerente / sistema</x:v>
      </x:c>
      <x:c r="G35" s="2" t="str">
        <x:v>Alta</x:v>
      </x:c>
      <x:c r="H35" s="2" t="str">
        <x:v>OE3</x:v>
      </x:c>
      <x:c r="I35" s="2" t="str">
        <x:v>CU-034</x:v>
      </x:c>
      <x:c r="J35" s="2" t="str">
        <x:v>Predicción IA</x:v>
      </x:c>
      <x:c r="K35" s="2" t="str">
        <x:v>src/services/modelPrediction.service.ts; modelo_ia.pkl</x:v>
      </x:c>
      <x:c r="L35" s="2" t="str">
        <x:v>predicciones_riesgo, dataset_ia, indicadores_riesgo</x:v>
      </x:c>
      <x:c r="M35" s="2" t="str">
        <x:v>POST /api/ia/predecir</x:v>
      </x:c>
      <x:c r="N35" s="2" t="str">
        <x:v>CP-034</x:v>
      </x:c>
      <x:c r="O35" s="2" t="str">
        <x:v>Modelo IA / integración</x:v>
      </x:c>
      <x:c r="P35" s="2" t="str">
        <x:v>Dataset validado e indicadores calculados</x:v>
      </x:c>
      <x:c r="Q35" s="2" t="str">
        <x:v>Se genera predicción con nivel de riesgo y fecha</x:v>
      </x:c>
      <x:c r="R35" s="2" t="str">
        <x:v>EV-034 Captura predicción IA</x:v>
      </x:c>
      <x:c r="S35" s="2" t="str">
        <x:v>Implementado</x:v>
      </x:c>
      <x:c r="T35" s="2" t="str">
        <x:v>Pendiente de evidencia</x:v>
      </x:c>
      <x:c r="U35" s="2" t="str">
        <x:v>Debe guardar resultado, versión del modelo y variables usadas.</x:v>
      </x:c>
      <x:c r="V35" s="2" t="str">
        <x:v>Vincular con captura/código real antes de defensa final.</x:v>
      </x:c>
      <x:c r="W35" s="2" t="str">
        <x:v>Alto</x:v>
      </x:c>
      <x:c r="X35" s="2" t="str">
        <x:v>[09]; [14]; [19]; [21]</x:v>
      </x:c>
    </x:row>
    <x:row r="36">
      <x:c r="A36" s="2" t="str">
        <x:v>RF-035</x:v>
      </x:c>
      <x:c r="B36" s="2" t="str">
        <x:v>Funcional</x:v>
      </x:c>
      <x:c r="C36" s="2" t="str">
        <x:v>MP-10</x:v>
      </x:c>
      <x:c r="D36" s="2" t="str">
        <x:v>P-035</x:v>
      </x:c>
      <x:c r="E36" s="2" t="str">
        <x:v>El sistema debe mostrar el nivel de riesgo empresarial en un dashboard gerencial.</x:v>
      </x:c>
      <x:c r="F36" s="2" t="str">
        <x:v>Gerente / administrador</x:v>
      </x:c>
      <x:c r="G36" s="2" t="str">
        <x:v>Alta</x:v>
      </x:c>
      <x:c r="H36" s="2" t="str">
        <x:v>OE4</x:v>
      </x:c>
      <x:c r="I36" s="2" t="str">
        <x:v>CU-035</x:v>
      </x:c>
      <x:c r="J36" s="2" t="str">
        <x:v>Dashboard riesgo</x:v>
      </x:c>
      <x:c r="K36" s="2" t="str">
        <x:v>src/pages/admin/DashboardIA.tsx</x:v>
      </x:c>
      <x:c r="L36" s="2" t="str">
        <x:v>predicciones_riesgo, indicadores_riesgo</x:v>
      </x:c>
      <x:c r="M36" s="2" t="str">
        <x:v>GET /api/ia/dashboard</x:v>
      </x:c>
      <x:c r="N36" s="2" t="str">
        <x:v>CP-035</x:v>
      </x:c>
      <x:c r="O36" s="2" t="str">
        <x:v>Caja negra / usabilidad</x:v>
      </x:c>
      <x:c r="P36" s="2" t="str">
        <x:v>Predicción existente</x:v>
      </x:c>
      <x:c r="Q36" s="2" t="str">
        <x:v>Dashboard muestra riesgo bajo, medio o alto con explicación</x:v>
      </x:c>
      <x:c r="R36" s="2" t="str">
        <x:v>EV-035 Captura dashboard riesgo</x:v>
      </x:c>
      <x:c r="S36" s="2" t="str">
        <x:v>Implementado</x:v>
      </x:c>
      <x:c r="T36" s="2" t="str">
        <x:v>Pendiente de evidencia</x:v>
      </x:c>
      <x:c r="U36" s="2" t="str">
        <x:v>Debe ser entendible para usuario no técnico.</x:v>
      </x:c>
      <x:c r="V36" s="2" t="str">
        <x:v>Vincular con captura/código real antes de defensa final.</x:v>
      </x:c>
      <x:c r="W36" s="2" t="str">
        <x:v>Alto</x:v>
      </x:c>
      <x:c r="X36" s="2" t="str">
        <x:v>[09]; [11]; [18]; [35]</x:v>
      </x:c>
    </x:row>
    <x:row r="37">
      <x:c r="A37" s="2" t="str">
        <x:v>RF-036</x:v>
      </x:c>
      <x:c r="B37" s="2" t="str">
        <x:v>Funcional</x:v>
      </x:c>
      <x:c r="C37" s="2" t="str">
        <x:v>MP-10</x:v>
      </x:c>
      <x:c r="D37" s="2" t="str">
        <x:v>P-036</x:v>
      </x:c>
      <x:c r="E37" s="2" t="str">
        <x:v>El sistema debe generar alertas gerenciales por riesgo empresarial o stock crítico.</x:v>
      </x:c>
      <x:c r="F37" s="2" t="str">
        <x:v>Administrador / gerente</x:v>
      </x:c>
      <x:c r="G37" s="2" t="str">
        <x:v>Alta</x:v>
      </x:c>
      <x:c r="H37" s="2" t="str">
        <x:v>OE4</x:v>
      </x:c>
      <x:c r="I37" s="2" t="str">
        <x:v>CU-036</x:v>
      </x:c>
      <x:c r="J37" s="2" t="str">
        <x:v>Alertas gerenciales</x:v>
      </x:c>
      <x:c r="K37" s="2" t="str">
        <x:v>src/components/RiskAlert.tsx; notification.service.ts</x:v>
      </x:c>
      <x:c r="L37" s="2" t="str">
        <x:v>alertas, predicciones_riesgo, inventario</x:v>
      </x:c>
      <x:c r="M37" s="2" t="str">
        <x:v>GET /api/alertas</x:v>
      </x:c>
      <x:c r="N37" s="2" t="str">
        <x:v>CP-036</x:v>
      </x:c>
      <x:c r="O37" s="2" t="str">
        <x:v>Caja negra / regla de negocio</x:v>
      </x:c>
      <x:c r="P37" s="2" t="str">
        <x:v>Riesgo alto o stock crítico</x:v>
      </x:c>
      <x:c r="Q37" s="2" t="str">
        <x:v>Sistema muestra alerta con recomendación básica</x:v>
      </x:c>
      <x:c r="R37" s="2" t="str">
        <x:v>EV-036 Captura alerta gerencial</x:v>
      </x:c>
      <x:c r="S37" s="2" t="str">
        <x:v>En desarrollo</x:v>
      </x:c>
      <x:c r="T37" s="2" t="str">
        <x:v>Diseñado</x:v>
      </x:c>
      <x:c r="U37" s="2" t="str">
        <x:v>Debe diferenciar alerta operativa y alerta analítica.</x:v>
      </x:c>
      <x:c r="V37" s="2" t="str">
        <x:v>Vincular con captura/código real antes de defensa final.</x:v>
      </x:c>
      <x:c r="W37" s="2" t="str">
        <x:v>Alto</x:v>
      </x:c>
      <x:c r="X37" s="2" t="str">
        <x:v>[09]; [11]; [14]</x:v>
      </x:c>
    </x:row>
    <x:row r="38">
      <x:c r="A38" s="2" t="str">
        <x:v>RF-037</x:v>
      </x:c>
      <x:c r="B38" s="2" t="str">
        <x:v>Funcional</x:v>
      </x:c>
      <x:c r="C38" s="2" t="str">
        <x:v>MP-11</x:v>
      </x:c>
      <x:c r="D38" s="2" t="str">
        <x:v>P-037</x:v>
      </x:c>
      <x:c r="E38" s="2" t="str">
        <x:v>El sistema debe registrar auditoría de acciones críticas realizadas por usuarios.</x:v>
      </x:c>
      <x:c r="F38" s="2" t="str">
        <x:v>Sistema / administrador</x:v>
      </x:c>
      <x:c r="G38" s="2" t="str">
        <x:v>Alta</x:v>
      </x:c>
      <x:c r="H38" s="2" t="str">
        <x:v>OE2</x:v>
      </x:c>
      <x:c r="I38" s="2" t="str">
        <x:v>CU-037</x:v>
      </x:c>
      <x:c r="J38" s="2" t="str">
        <x:v>Auditoría</x:v>
      </x:c>
      <x:c r="K38" s="2" t="str">
        <x:v>src/middleware/audit.middleware.ts; audit.service.ts</x:v>
      </x:c>
      <x:c r="L38" s="2" t="str">
        <x:v>auditoria, usuarios</x:v>
      </x:c>
      <x:c r="M38" s="2" t="str">
        <x:v>GET/POST /api/auditoria</x:v>
      </x:c>
      <x:c r="N38" s="2" t="str">
        <x:v>CP-037</x:v>
      </x:c>
      <x:c r="O38" s="2" t="str">
        <x:v>Integración / seguridad</x:v>
      </x:c>
      <x:c r="P38" s="2" t="str">
        <x:v>Crear, editar, eliminar, vender, cambiar estado</x:v>
      </x:c>
      <x:c r="Q38" s="2" t="str">
        <x:v>Acción queda registrada con usuario, fecha, módulo y detalle</x:v>
      </x:c>
      <x:c r="R38" s="2" t="str">
        <x:v>EV-037 Captura auditoría</x:v>
      </x:c>
      <x:c r="S38" s="2" t="str">
        <x:v>Implementado</x:v>
      </x:c>
      <x:c r="T38" s="2" t="str">
        <x:v>Pendiente de evidencia</x:v>
      </x:c>
      <x:c r="U38" s="2" t="str">
        <x:v>Debe registrar operaciones críticas sin afectar rendimiento.</x:v>
      </x:c>
      <x:c r="V38" s="2" t="str">
        <x:v>Vincular con captura/código real antes de defensa final.</x:v>
      </x:c>
      <x:c r="W38" s="2" t="str">
        <x:v>Alto</x:v>
      </x:c>
      <x:c r="X38" s="2" t="str">
        <x:v>[37]; [38]; [39]</x:v>
      </x:c>
    </x:row>
    <x:row r="39">
      <x:c r="A39" s="2" t="str">
        <x:v>RF-038</x:v>
      </x:c>
      <x:c r="B39" s="2" t="str">
        <x:v>Funcional</x:v>
      </x:c>
      <x:c r="C39" s="2" t="str">
        <x:v>MP-11</x:v>
      </x:c>
      <x:c r="D39" s="2" t="str">
        <x:v>P-038</x:v>
      </x:c>
      <x:c r="E39" s="2" t="str">
        <x:v>El sistema debe permitir exportar reportes o datos operativos autorizados.</x:v>
      </x:c>
      <x:c r="F39" s="2" t="str">
        <x:v>Administrador / gerente</x:v>
      </x:c>
      <x:c r="G39" s="2" t="str">
        <x:v>Media</x:v>
      </x:c>
      <x:c r="H39" s="2" t="str">
        <x:v>OE4</x:v>
      </x:c>
      <x:c r="I39" s="2" t="str">
        <x:v>CU-038</x:v>
      </x:c>
      <x:c r="J39" s="2" t="str">
        <x:v>Exportación reportes</x:v>
      </x:c>
      <x:c r="K39" s="2" t="str">
        <x:v>src/services/export.service.ts</x:v>
      </x:c>
      <x:c r="L39" s="2" t="str">
        <x:v>ventas, productos, inventario, reportes</x:v>
      </x:c>
      <x:c r="M39" s="2" t="str">
        <x:v>GET /api/reportes/exportar</x:v>
      </x:c>
      <x:c r="N39" s="2" t="str">
        <x:v>CP-038</x:v>
      </x:c>
      <x:c r="O39" s="2" t="str">
        <x:v>Caja negra</x:v>
      </x:c>
      <x:c r="P39" s="2" t="str">
        <x:v>Reporte seleccionado y formato</x:v>
      </x:c>
      <x:c r="Q39" s="2" t="str">
        <x:v>Archivo exportado en formato permitido</x:v>
      </x:c>
      <x:c r="R39" s="2" t="str">
        <x:v>EV-038 Archivo exportado y captura</x:v>
      </x:c>
      <x:c r="S39" s="2" t="str">
        <x:v>En desarrollo</x:v>
      </x:c>
      <x:c r="T39" s="2" t="str">
        <x:v>Diseñado</x:v>
      </x:c>
      <x:c r="U39" s="2" t="str">
        <x:v>Debe respetar permisos y no exponer datos sensibles.</x:v>
      </x:c>
      <x:c r="V39" s="2" t="str">
        <x:v>Vincular con captura/código real antes de defensa final.</x:v>
      </x:c>
      <x:c r="W39" s="2" t="str">
        <x:v>Medio</x:v>
      </x:c>
      <x:c r="X39" s="2" t="str">
        <x:v>[37]; [39]</x:v>
      </x:c>
    </x:row>
    <x:row r="40">
      <x:c r="A40" s="2" t="str">
        <x:v>RF-039</x:v>
      </x:c>
      <x:c r="B40" s="2" t="str">
        <x:v>Funcional</x:v>
      </x:c>
      <x:c r="C40" s="2" t="str">
        <x:v>MP-11</x:v>
      </x:c>
      <x:c r="D40" s="2" t="str">
        <x:v>P-039</x:v>
      </x:c>
      <x:c r="E40" s="2" t="str">
        <x:v>El sistema debe permitir realizar respaldo lógico o exportación de información crítica.</x:v>
      </x:c>
      <x:c r="F40" s="2" t="str">
        <x:v>Administrador</x:v>
      </x:c>
      <x:c r="G40" s="2" t="str">
        <x:v>Media</x:v>
      </x:c>
      <x:c r="H40" s="2" t="str">
        <x:v>OE2</x:v>
      </x:c>
      <x:c r="I40" s="2" t="str">
        <x:v>CU-039</x:v>
      </x:c>
      <x:c r="J40" s="2" t="str">
        <x:v>Respaldo lógico</x:v>
      </x:c>
      <x:c r="K40" s="2" t="str">
        <x:v>src/services/backup.service.ts</x:v>
      </x:c>
      <x:c r="L40" s="2" t="str">
        <x:v>todas las tablas críticas</x:v>
      </x:c>
      <x:c r="M40" s="2" t="str">
        <x:v>POST /api/admin/backup</x:v>
      </x:c>
      <x:c r="N40" s="2" t="str">
        <x:v>CP-039</x:v>
      </x:c>
      <x:c r="O40" s="2" t="str">
        <x:v>Operacional / seguridad</x:v>
      </x:c>
      <x:c r="P40" s="2" t="str">
        <x:v>Solicitud de respaldo autorizado</x:v>
      </x:c>
      <x:c r="Q40" s="2" t="str">
        <x:v>Se genera respaldo o archivo exportable de datos críticos</x:v>
      </x:c>
      <x:c r="R40" s="2" t="str">
        <x:v>EV-039 Captura o archivo respaldo</x:v>
      </x:c>
      <x:c r="S40" s="2" t="str">
        <x:v>En desarrollo</x:v>
      </x:c>
      <x:c r="T40" s="2" t="str">
        <x:v>Diseñado</x:v>
      </x:c>
      <x:c r="U40" s="2" t="str">
        <x:v>Debe restringirse solo a administrador.</x:v>
      </x:c>
      <x:c r="V40" s="2" t="str">
        <x:v>Vincular con captura/código real antes de defensa final.</x:v>
      </x:c>
      <x:c r="W40" s="2" t="str">
        <x:v>Alto</x:v>
      </x:c>
      <x:c r="X40" s="2" t="str">
        <x:v>[37]; [39]</x:v>
      </x:c>
    </x:row>
    <x:row r="41">
      <x:c r="A41" s="2" t="str">
        <x:v>RF-040</x:v>
      </x:c>
      <x:c r="B41" s="2" t="str">
        <x:v>Funcional</x:v>
      </x:c>
      <x:c r="C41" s="2" t="str">
        <x:v>MP-11</x:v>
      </x:c>
      <x:c r="D41" s="2" t="str">
        <x:v>P-040</x:v>
      </x:c>
      <x:c r="E41" s="2" t="str">
        <x:v>El sistema debe permitir mantenimiento de datos maestros: categorías, marcas, tallas y métodos de pago.</x:v>
      </x:c>
      <x:c r="F41" s="2" t="str">
        <x:v>Administrador</x:v>
      </x:c>
      <x:c r="G41" s="2" t="str">
        <x:v>Media</x:v>
      </x:c>
      <x:c r="H41" s="2" t="str">
        <x:v>OE2</x:v>
      </x:c>
      <x:c r="I41" s="2" t="str">
        <x:v>CU-040</x:v>
      </x:c>
      <x:c r="J41" s="2" t="str">
        <x:v>Datos maestros</x:v>
      </x:c>
      <x:c r="K41" s="2" t="str">
        <x:v>src/pages/admin/Configuracion.tsx</x:v>
      </x:c>
      <x:c r="L41" s="2" t="str">
        <x:v>categorias, marcas, tallas, metodos_pago</x:v>
      </x:c>
      <x:c r="M41" s="2" t="str">
        <x:v>GET/POST/PUT /api/maestros</x:v>
      </x:c>
      <x:c r="N41" s="2" t="str">
        <x:v>CP-040</x:v>
      </x:c>
      <x:c r="O41" s="2" t="str">
        <x:v>Caja negra</x:v>
      </x:c>
      <x:c r="P41" s="2" t="str">
        <x:v>Nuevo dato maestro</x:v>
      </x:c>
      <x:c r="Q41" s="2" t="str">
        <x:v>Dato maestro disponible para productos o ventas</x:v>
      </x:c>
      <x:c r="R41" s="2" t="str">
        <x:v>EV-040 Captura configuración</x:v>
      </x:c>
      <x:c r="S41" s="2" t="str">
        <x:v>En desarrollo</x:v>
      </x:c>
      <x:c r="T41" s="2" t="str">
        <x:v>Diseñado</x:v>
      </x:c>
      <x:c r="U41" s="2" t="str">
        <x:v>Debe evitar duplicidad en datos maestros.</x:v>
      </x:c>
      <x:c r="V41" s="2" t="str">
        <x:v>Vincular con captura/código real antes de defensa final.</x:v>
      </x:c>
      <x:c r="W41" s="2" t="str">
        <x:v>Medio</x:v>
      </x:c>
      <x:c r="X41" s="2" t="str">
        <x:v>[07]; [39]</x:v>
      </x:c>
    </x:row>
    <x:row r="42">
      <x:c r="A42" s="2" t="str">
        <x:v>RF-041</x:v>
      </x:c>
      <x:c r="B42" s="2" t="str">
        <x:v>Funcional</x:v>
      </x:c>
      <x:c r="C42" s="2" t="str">
        <x:v>MP-11</x:v>
      </x:c>
      <x:c r="D42" s="2" t="str">
        <x:v>P-041</x:v>
      </x:c>
      <x:c r="E42" s="2" t="str">
        <x:v>El sistema debe monitorear calidad de datos para IA antes de ejecutar predicciones.</x:v>
      </x:c>
      <x:c r="F42" s="2" t="str">
        <x:v>Sistema / administrador</x:v>
      </x:c>
      <x:c r="G42" s="2" t="str">
        <x:v>Alta</x:v>
      </x:c>
      <x:c r="H42" s="2" t="str">
        <x:v>OE3</x:v>
      </x:c>
      <x:c r="I42" s="2" t="str">
        <x:v>CU-041</x:v>
      </x:c>
      <x:c r="J42" s="2" t="str">
        <x:v>Validación datos IA</x:v>
      </x:c>
      <x:c r="K42" s="2" t="str">
        <x:v>src/services/dataQuality.service.ts</x:v>
      </x:c>
      <x:c r="L42" s="2" t="str">
        <x:v>dataset_ia, ventas, inventario</x:v>
      </x:c>
      <x:c r="M42" s="2" t="str">
        <x:v>POST /api/ia/validar-datos</x:v>
      </x:c>
      <x:c r="N42" s="2" t="str">
        <x:v>CP-041</x:v>
      </x:c>
      <x:c r="O42" s="2" t="str">
        <x:v>Calidad de datos / IA</x:v>
      </x:c>
      <x:c r="P42" s="2" t="str">
        <x:v>Dataset con y sin campos incompletos</x:v>
      </x:c>
      <x:c r="Q42" s="2" t="str">
        <x:v>Sistema informa completitud, consistencia y observaciones</x:v>
      </x:c>
      <x:c r="R42" s="2" t="str">
        <x:v>EV-041 Captura validación de datos</x:v>
      </x:c>
      <x:c r="S42" s="2" t="str">
        <x:v>Implementado</x:v>
      </x:c>
      <x:c r="T42" s="2" t="str">
        <x:v>Pendiente de evidencia</x:v>
      </x:c>
      <x:c r="U42" s="2" t="str">
        <x:v>Debe bloquear o advertir predicciones con datos insuficientes.</x:v>
      </x:c>
      <x:c r="V42" s="2" t="str">
        <x:v>Vincular con captura/código real antes de defensa final.</x:v>
      </x:c>
      <x:c r="W42" s="2" t="str">
        <x:v>Alto</x:v>
      </x:c>
      <x:c r="X42" s="2" t="str">
        <x:v>[13]; [14]; [41]; [42]</x:v>
      </x:c>
    </x:row>
    <x:row r="43">
      <x:c r="A43" s="2" t="str">
        <x:v>RF-042</x:v>
      </x:c>
      <x:c r="B43" s="2" t="str">
        <x:v>Funcional</x:v>
      </x:c>
      <x:c r="C43" s="2" t="str">
        <x:v>MP-11</x:v>
      </x:c>
      <x:c r="D43" s="2" t="str">
        <x:v>P-042</x:v>
      </x:c>
      <x:c r="E43" s="2" t="str">
        <x:v>El sistema debe permitir gestionar parámetros generales del sistema y del modelo de riesgo.</x:v>
      </x:c>
      <x:c r="F43" s="2" t="str">
        <x:v>Administrador</x:v>
      </x:c>
      <x:c r="G43" s="2" t="str">
        <x:v>Media</x:v>
      </x:c>
      <x:c r="H43" s="2" t="str">
        <x:v>OE3</x:v>
      </x:c>
      <x:c r="I43" s="2" t="str">
        <x:v>CU-042</x:v>
      </x:c>
      <x:c r="J43" s="2" t="str">
        <x:v>Parámetros sistema</x:v>
      </x:c>
      <x:c r="K43" s="2" t="str">
        <x:v>src/pages/admin/Parametros.tsx</x:v>
      </x:c>
      <x:c r="L43" s="2" t="str">
        <x:v>parametros_sistema, parametros_modelo</x:v>
      </x:c>
      <x:c r="M43" s="2" t="str">
        <x:v>GET/PUT /api/parametros</x:v>
      </x:c>
      <x:c r="N43" s="2" t="str">
        <x:v>CP-042</x:v>
      </x:c>
      <x:c r="O43" s="2" t="str">
        <x:v>Caja negra / configuración</x:v>
      </x:c>
      <x:c r="P43" s="2" t="str">
        <x:v>Umbrales de riesgo, stock mínimo o parámetros autorizados</x:v>
      </x:c>
      <x:c r="Q43" s="2" t="str">
        <x:v>Parámetro se actualiza y afecta reglas correspondientes</x:v>
      </x:c>
      <x:c r="R43" s="2" t="str">
        <x:v>EV-042 Captura parámetros actualizados</x:v>
      </x:c>
      <x:c r="S43" s="2" t="str">
        <x:v>En desarrollo</x:v>
      </x:c>
      <x:c r="T43" s="2" t="str">
        <x:v>Diseñado</x:v>
      </x:c>
      <x:c r="U43" s="2" t="str">
        <x:v>Debe registrar auditoría de cambios de parámetros.</x:v>
      </x:c>
      <x:c r="V43" s="2" t="str">
        <x:v>Vincular con captura/código real antes de defensa final.</x:v>
      </x:c>
      <x:c r="W43" s="2" t="str">
        <x:v>Medio</x:v>
      </x:c>
      <x:c r="X43" s="2" t="str">
        <x:v>[11]; [14]; [39]</x:v>
      </x:c>
    </x:row>
    <x:row r="44">
      <x:c r="A44" s="2" t="str">
        <x:v>RNF-001</x:v>
      </x:c>
      <x:c r="B44" s="2" t="str">
        <x:v>No funcional</x:v>
      </x:c>
      <x:c r="C44" s="2" t="str">
        <x:v>MP-07</x:v>
      </x:c>
      <x:c r="D44" s="2" t="str">
        <x:v>P-013</x:v>
      </x:c>
      <x:c r="E44" s="2" t="str">
        <x:v>El sistema debe autenticar usuarios antes de permitir acceso a módulos internos.</x:v>
      </x:c>
      <x:c r="F44" s="2" t="str">
        <x:v>Todos</x:v>
      </x:c>
      <x:c r="G44" s="2" t="str">
        <x:v>Alta</x:v>
      </x:c>
      <x:c r="H44" s="2" t="str">
        <x:v>OE2</x:v>
      </x:c>
      <x:c r="I44" s="2" t="str">
        <x:v>CU-002</x:v>
      </x:c>
      <x:c r="J44" s="2" t="str">
        <x:v>Seguridad / autenticación</x:v>
      </x:c>
      <x:c r="K44" s="2" t="str">
        <x:v>auth.middleware.ts; routeGuard.ts</x:v>
      </x:c>
      <x:c r="L44" s="2" t="str">
        <x:v>usuarios, sesiones</x:v>
      </x:c>
      <x:c r="M44" s="2" t="str">
        <x:v>Middleware de autenticación</x:v>
      </x:c>
      <x:c r="N44" s="2" t="str">
        <x:v>CP-043</x:v>
      </x:c>
      <x:c r="O44" s="2" t="str">
        <x:v>Seguridad / caja negra</x:v>
      </x:c>
      <x:c r="P44" s="2" t="str">
        <x:v>Acceso con y sin sesión</x:v>
      </x:c>
      <x:c r="Q44" s="2" t="str">
        <x:v>Sin sesión no accede; con sesión válida accede</x:v>
      </x:c>
      <x:c r="R44" s="2" t="str">
        <x:v>EV-043 Captura ruta protegida</x:v>
      </x:c>
      <x:c r="S44" s="2" t="str">
        <x:v>Implementado</x:v>
      </x:c>
      <x:c r="T44" s="2" t="str">
        <x:v>Pendiente de evidencia</x:v>
      </x:c>
      <x:c r="U44" s="2" t="str">
        <x:v>Debe impedir acceso directo por URL.</x:v>
      </x:c>
      <x:c r="V44" s="2" t="str">
        <x:v>Vincular con captura/código real antes de defensa final.</x:v>
      </x:c>
      <x:c r="W44" s="2" t="str">
        <x:v>Alto</x:v>
      </x:c>
      <x:c r="X44" s="2" t="str">
        <x:v>[37]; [38]</x:v>
      </x:c>
    </x:row>
    <x:row r="45">
      <x:c r="A45" s="2" t="str">
        <x:v>RNF-002</x:v>
      </x:c>
      <x:c r="B45" s="2" t="str">
        <x:v>No funcional</x:v>
      </x:c>
      <x:c r="C45" s="2" t="str">
        <x:v>MP-07</x:v>
      </x:c>
      <x:c r="D45" s="2" t="str">
        <x:v>P-014</x:v>
      </x:c>
      <x:c r="E45" s="2" t="str">
        <x:v>El sistema debe restringir funcionalidades según rol asignado.</x:v>
      </x:c>
      <x:c r="F45" s="2" t="str">
        <x:v>Administrador, vendedor, cliente, gerente</x:v>
      </x:c>
      <x:c r="G45" s="2" t="str">
        <x:v>Alta</x:v>
      </x:c>
      <x:c r="H45" s="2" t="str">
        <x:v>OE2</x:v>
      </x:c>
      <x:c r="I45" s="2" t="str">
        <x:v>CU-004</x:v>
      </x:c>
      <x:c r="J45" s="2" t="str">
        <x:v>Control de acceso</x:v>
      </x:c>
      <x:c r="K45" s="2" t="str">
        <x:v>role.middleware.ts; permisos.ts</x:v>
      </x:c>
      <x:c r="L45" s="2" t="str">
        <x:v>usuarios, roles</x:v>
      </x:c>
      <x:c r="M45" s="2" t="str">
        <x:v>Middleware RBAC</x:v>
      </x:c>
      <x:c r="N45" s="2" t="str">
        <x:v>CP-044</x:v>
      </x:c>
      <x:c r="O45" s="2" t="str">
        <x:v>Seguridad / autorización</x:v>
      </x:c>
      <x:c r="P45" s="2" t="str">
        <x:v>Usuarios con roles distintos</x:v>
      </x:c>
      <x:c r="Q45" s="2" t="str">
        <x:v>Cada rol visualiza solo módulos autorizados</x:v>
      </x:c>
      <x:c r="R45" s="2" t="str">
        <x:v>EV-044 Capturas por rol</x:v>
      </x:c>
      <x:c r="S45" s="2" t="str">
        <x:v>Implementado</x:v>
      </x:c>
      <x:c r="T45" s="2" t="str">
        <x:v>Pendiente de evidencia</x:v>
      </x:c>
      <x:c r="U45" s="2" t="str">
        <x:v>Debe aplicar control en frontend y backend.</x:v>
      </x:c>
      <x:c r="V45" s="2" t="str">
        <x:v>Vincular con captura/código real antes de defensa final.</x:v>
      </x:c>
      <x:c r="W45" s="2" t="str">
        <x:v>Alto</x:v>
      </x:c>
      <x:c r="X45" s="2" t="str">
        <x:v>[37]; [38]; [39]</x:v>
      </x:c>
    </x:row>
    <x:row r="46">
      <x:c r="A46" s="2" t="str">
        <x:v>RNF-003</x:v>
      </x:c>
      <x:c r="B46" s="2" t="str">
        <x:v>No funcional</x:v>
      </x:c>
      <x:c r="C46" s="2" t="str">
        <x:v>MP-05</x:v>
      </x:c>
      <x:c r="D46" s="2" t="str">
        <x:v>P-024</x:v>
      </x:c>
      <x:c r="E46" s="2" t="str">
        <x:v>El sistema debe mantener consistencia entre ventas, detalle de venta e inventario.</x:v>
      </x:c>
      <x:c r="F46" s="2" t="str">
        <x:v>Sistema</x:v>
      </x:c>
      <x:c r="G46" s="2" t="str">
        <x:v>Alta</x:v>
      </x:c>
      <x:c r="H46" s="2" t="str">
        <x:v>OE2</x:v>
      </x:c>
      <x:c r="I46" s="2" t="str">
        <x:v>CU-024</x:v>
      </x:c>
      <x:c r="J46" s="2" t="str">
        <x:v>Integridad de datos</x:v>
      </x:c>
      <x:c r="K46" s="2" t="str">
        <x:v>sale.service.ts; inventory.service.ts</x:v>
      </x:c>
      <x:c r="L46" s="2" t="str">
        <x:v>ventas, detalle_venta, inventario, movimientos_inventario</x:v>
      </x:c>
      <x:c r="M46" s="2" t="str">
        <x:v>Transacción lógica venta-stock</x:v>
      </x:c>
      <x:c r="N46" s="2" t="str">
        <x:v>CP-045</x:v>
      </x:c>
      <x:c r="O46" s="2" t="str">
        <x:v>Integración / integridad</x:v>
      </x:c>
      <x:c r="P46" s="2" t="str">
        <x:v>Venta confirmada</x:v>
      </x:c>
      <x:c r="Q46" s="2" t="str">
        <x:v>La venta y descuento de stock quedan consistentes</x:v>
      </x:c>
      <x:c r="R46" s="2" t="str">
        <x:v>EV-045 Captura BD venta/inventario</x:v>
      </x:c>
      <x:c r="S46" s="2" t="str">
        <x:v>Implementado</x:v>
      </x:c>
      <x:c r="T46" s="2" t="str">
        <x:v>Pendiente de evidencia</x:v>
      </x:c>
      <x:c r="U46" s="2" t="str">
        <x:v>No debe quedar venta sin detalle ni stock sin movimiento.</x:v>
      </x:c>
      <x:c r="V46" s="2" t="str">
        <x:v>Vincular con captura/código real antes de defensa final.</x:v>
      </x:c>
      <x:c r="W46" s="2" t="str">
        <x:v>Alto</x:v>
      </x:c>
      <x:c r="X46" s="2" t="str">
        <x:v>[37]; [39]</x:v>
      </x:c>
    </x:row>
    <x:row r="47">
      <x:c r="A47" s="2" t="str">
        <x:v>RNF-004</x:v>
      </x:c>
      <x:c r="B47" s="2" t="str">
        <x:v>No funcional</x:v>
      </x:c>
      <x:c r="C47" s="2" t="str">
        <x:v>MP-06</x:v>
      </x:c>
      <x:c r="D47" s="2" t="str">
        <x:v>P-011</x:v>
      </x:c>
      <x:c r="E47" s="2" t="str">
        <x:v>El sistema debe presentar una interfaz clara, ordenada y comprensible para usuarios no técnicos.</x:v>
      </x:c>
      <x:c r="F47" s="2" t="str">
        <x:v>Todos</x:v>
      </x:c>
      <x:c r="G47" s="2" t="str">
        <x:v>Media</x:v>
      </x:c>
      <x:c r="H47" s="2" t="str">
        <x:v>OE4</x:v>
      </x:c>
      <x:c r="I47" s="2" t="str">
        <x:v>CU-014</x:v>
      </x:c>
      <x:c r="J47" s="2" t="str">
        <x:v>Usabilidad</x:v>
      </x:c>
      <x:c r="K47" s="2" t="str">
        <x:v>UI components; layout; dashboard</x:v>
      </x:c>
      <x:c r="L47" s="2" t="str">
        <x:v>No aplica</x:v>
      </x:c>
      <x:c r="M47" s="2" t="str">
        <x:v>Diseño UI/UX</x:v>
      </x:c>
      <x:c r="N47" s="2" t="str">
        <x:v>CP-046</x:v>
      </x:c>
      <x:c r="O47" s="2" t="str">
        <x:v>Usabilidad</x:v>
      </x:c>
      <x:c r="P47" s="2" t="str">
        <x:v>Encuesta o lista de cotejo</x:v>
      </x:c>
      <x:c r="Q47" s="2" t="str">
        <x:v>Usuarios califican navegación como comprensible</x:v>
      </x:c>
      <x:c r="R47" s="2" t="str">
        <x:v>EV-046 Encuesta de usabilidad</x:v>
      </x:c>
      <x:c r="S47" s="2" t="str">
        <x:v>En desarrollo</x:v>
      </x:c>
      <x:c r="T47" s="2" t="str">
        <x:v>Diseñado</x:v>
      </x:c>
      <x:c r="U47" s="2" t="str">
        <x:v>Debe evaluarse con escala Likert o lista de cotejo.</x:v>
      </x:c>
      <x:c r="V47" s="2" t="str">
        <x:v>Vincular con captura/código real antes de defensa final.</x:v>
      </x:c>
      <x:c r="W47" s="2" t="str">
        <x:v>Medio</x:v>
      </x:c>
      <x:c r="X47" s="2" t="str">
        <x:v>[35]; [36]</x:v>
      </x:c>
    </x:row>
    <x:row r="48">
      <x:c r="A48" s="2" t="str">
        <x:v>RNF-005</x:v>
      </x:c>
      <x:c r="B48" s="2" t="str">
        <x:v>No funcional</x:v>
      </x:c>
      <x:c r="C48" s="2" t="str">
        <x:v>MP-11</x:v>
      </x:c>
      <x:c r="D48" s="2" t="str">
        <x:v>P-029</x:v>
      </x:c>
      <x:c r="E48" s="2" t="str">
        <x:v>Las operaciones principales deben responder en un tiempo aceptable para el usuario.</x:v>
      </x:c>
      <x:c r="F48" s="2" t="str">
        <x:v>Todos</x:v>
      </x:c>
      <x:c r="G48" s="2" t="str">
        <x:v>Media</x:v>
      </x:c>
      <x:c r="H48" s="2" t="str">
        <x:v>OE4</x:v>
      </x:c>
      <x:c r="I48" s="2" t="str">
        <x:v>CU-029</x:v>
      </x:c>
      <x:c r="J48" s="2" t="str">
        <x:v>Rendimiento</x:v>
      </x:c>
      <x:c r="K48" s="2" t="str">
        <x:v>API controllers; queries optimizadas</x:v>
      </x:c>
      <x:c r="L48" s="2" t="str">
        <x:v>ventas, productos, inventario</x:v>
      </x:c>
      <x:c r="M48" s="2" t="str">
        <x:v>Pruebas de tiempo de respuesta</x:v>
      </x:c>
      <x:c r="N48" s="2" t="str">
        <x:v>CP-047</x:v>
      </x:c>
      <x:c r="O48" s="2" t="str">
        <x:v>Rendimiento</x:v>
      </x:c>
      <x:c r="P48" s="2" t="str">
        <x:v>Login, listado productos, venta y reporte</x:v>
      </x:c>
      <x:c r="Q48" s="2" t="str">
        <x:v>Operaciones críticas responden en tiempo aceptable definido en tesis</x:v>
      </x:c>
      <x:c r="R48" s="2" t="str">
        <x:v>EV-047 Registro de tiempos</x:v>
      </x:c>
      <x:c r="S48" s="2" t="str">
        <x:v>Pendiente</x:v>
      </x:c>
      <x:c r="T48" s="2" t="str">
        <x:v>Diseñado</x:v>
      </x:c>
      <x:c r="U48" s="2" t="str">
        <x:v>Definir umbral medible según ambiente de prueba.</x:v>
      </x:c>
      <x:c r="V48" s="2" t="str">
        <x:v>Vincular con captura/código real antes de defensa final.</x:v>
      </x:c>
      <x:c r="W48" s="2" t="str">
        <x:v>Medio</x:v>
      </x:c>
      <x:c r="X48" s="2" t="str">
        <x:v>[37]; [38]</x:v>
      </x:c>
    </x:row>
    <x:row r="49">
      <x:c r="A49" s="2" t="str">
        <x:v>RNF-006</x:v>
      </x:c>
      <x:c r="B49" s="2" t="str">
        <x:v>No funcional</x:v>
      </x:c>
      <x:c r="C49" s="2" t="str">
        <x:v>MP-11</x:v>
      </x:c>
      <x:c r="D49" s="2" t="str">
        <x:v>P-039</x:v>
      </x:c>
      <x:c r="E49" s="2" t="str">
        <x:v>El sistema debe estar disponible durante el horario operativo definido por la empresa.</x:v>
      </x:c>
      <x:c r="F49" s="2" t="str">
        <x:v>Todos</x:v>
      </x:c>
      <x:c r="G49" s="2" t="str">
        <x:v>Media</x:v>
      </x:c>
      <x:c r="H49" s="2" t="str">
        <x:v>OE2</x:v>
      </x:c>
      <x:c r="I49" s="2" t="str">
        <x:v>CU-039</x:v>
      </x:c>
      <x:c r="J49" s="2" t="str">
        <x:v>Disponibilidad</x:v>
      </x:c>
      <x:c r="K49" s="2" t="str">
        <x:v>Servidor / hosting / entorno local</x:v>
      </x:c>
      <x:c r="L49" s="2" t="str">
        <x:v>No aplica</x:v>
      </x:c>
      <x:c r="M49" s="2" t="str">
        <x:v>Despliegue web</x:v>
      </x:c>
      <x:c r="N49" s="2" t="str">
        <x:v>CP-048</x:v>
      </x:c>
      <x:c r="O49" s="2" t="str">
        <x:v>Disponibilidad</x:v>
      </x:c>
      <x:c r="P49" s="2" t="str">
        <x:v>Acceso al sistema en horario de prueba</x:v>
      </x:c>
      <x:c r="Q49" s="2" t="str">
        <x:v>Sistema accesible sin error de servicio</x:v>
      </x:c>
      <x:c r="R49" s="2" t="str">
        <x:v>EV-048 Captura URL funcionando</x:v>
      </x:c>
      <x:c r="S49" s="2" t="str">
        <x:v>Pendiente</x:v>
      </x:c>
      <x:c r="T49" s="2" t="str">
        <x:v>Diseñado</x:v>
      </x:c>
      <x:c r="U49" s="2" t="str">
        <x:v>Puede validarse en entorno local o desplegado.</x:v>
      </x:c>
      <x:c r="V49" s="2" t="str">
        <x:v>Vincular con captura/código real antes de defensa final.</x:v>
      </x:c>
      <x:c r="W49" s="2" t="str">
        <x:v>Medio</x:v>
      </x:c>
      <x:c r="X49" s="2" t="str">
        <x:v>[38]; [39]</x:v>
      </x:c>
    </x:row>
    <x:row r="50">
      <x:c r="A50" s="2" t="str">
        <x:v>RNF-007</x:v>
      </x:c>
      <x:c r="B50" s="2" t="str">
        <x:v>No funcional</x:v>
      </x:c>
      <x:c r="C50" s="2" t="str">
        <x:v>MP-11</x:v>
      </x:c>
      <x:c r="D50" s="2" t="str">
        <x:v>P-040</x:v>
      </x:c>
      <x:c r="E50" s="2" t="str">
        <x:v>El código debe organizarse por módulos para facilitar mantenimiento y crecimiento.</x:v>
      </x:c>
      <x:c r="F50" s="2" t="str">
        <x:v>Desarrollador / administrador</x:v>
      </x:c>
      <x:c r="G50" s="2" t="str">
        <x:v>Media</x:v>
      </x:c>
      <x:c r="H50" s="2" t="str">
        <x:v>OE2</x:v>
      </x:c>
      <x:c r="I50" s="2" t="str">
        <x:v>CU-040</x:v>
      </x:c>
      <x:c r="J50" s="2" t="str">
        <x:v>Mantenibilidad</x:v>
      </x:c>
      <x:c r="K50" s="2" t="str">
        <x:v>src/pages, src/components, src/services, controllers</x:v>
      </x:c>
      <x:c r="L50" s="2" t="str">
        <x:v>No aplica</x:v>
      </x:c>
      <x:c r="M50" s="2" t="str">
        <x:v>Revisión de estructura de proyecto</x:v>
      </x:c>
      <x:c r="N50" s="2" t="str">
        <x:v>CP-049</x:v>
      </x:c>
      <x:c r="O50" s="2" t="str">
        <x:v>Revisión técnica</x:v>
      </x:c>
      <x:c r="P50" s="2" t="str">
        <x:v>Árbol de carpetas y componentes</x:v>
      </x:c>
      <x:c r="Q50" s="2" t="str">
        <x:v>Estructura modular y nombres coherentes</x:v>
      </x:c>
      <x:c r="R50" s="2" t="str">
        <x:v>EV-049 Captura estructura de proyecto</x:v>
      </x:c>
      <x:c r="S50" s="2" t="str">
        <x:v>Pendiente de código</x:v>
      </x:c>
      <x:c r="T50" s="2" t="str">
        <x:v>Diseñado</x:v>
      </x:c>
      <x:c r="U50" s="2" t="str">
        <x:v>Requiere repositorio o ZIP del código para validación real.</x:v>
      </x:c>
      <x:c r="V50" s="2" t="str">
        <x:v>Vincular con captura/código real antes de defensa final.</x:v>
      </x:c>
      <x:c r="W50" s="2" t="str">
        <x:v>Medio</x:v>
      </x:c>
      <x:c r="X50" s="2" t="str">
        <x:v>[37]; [38]</x:v>
      </x:c>
    </x:row>
    <x:row r="51">
      <x:c r="A51" s="2" t="str">
        <x:v>RNF-008</x:v>
      </x:c>
      <x:c r="B51" s="2" t="str">
        <x:v>No funcional</x:v>
      </x:c>
      <x:c r="C51" s="2" t="str">
        <x:v>MP-11</x:v>
      </x:c>
      <x:c r="D51" s="2" t="str">
        <x:v>P-037</x:v>
      </x:c>
      <x:c r="E51" s="2" t="str">
        <x:v>Las acciones importantes deben quedar registradas para trazabilidad y control interno.</x:v>
      </x:c>
      <x:c r="F51" s="2" t="str">
        <x:v>Administrador / sistema</x:v>
      </x:c>
      <x:c r="G51" s="2" t="str">
        <x:v>Media</x:v>
      </x:c>
      <x:c r="H51" s="2" t="str">
        <x:v>OE2</x:v>
      </x:c>
      <x:c r="I51" s="2" t="str">
        <x:v>CU-037</x:v>
      </x:c>
      <x:c r="J51" s="2" t="str">
        <x:v>Trazabilidad / auditoría</x:v>
      </x:c>
      <x:c r="K51" s="2" t="str">
        <x:v>audit.middleware.ts; audit.service.ts</x:v>
      </x:c>
      <x:c r="L51" s="2" t="str">
        <x:v>auditoria</x:v>
      </x:c>
      <x:c r="M51" s="2" t="str">
        <x:v>Registro de eventos</x:v>
      </x:c>
      <x:c r="N51" s="2" t="str">
        <x:v>CP-050</x:v>
      </x:c>
      <x:c r="O51" s="2" t="str">
        <x:v>Seguridad / auditoría</x:v>
      </x:c>
      <x:c r="P51" s="2" t="str">
        <x:v>Crear, editar, vender, cambiar estado</x:v>
      </x:c>
      <x:c r="Q51" s="2" t="str">
        <x:v>Cada acción crítica genera registro auditable</x:v>
      </x:c>
      <x:c r="R51" s="2" t="str">
        <x:v>EV-050 Tabla auditoría</x:v>
      </x:c>
      <x:c r="S51" s="2" t="str">
        <x:v>Implementado</x:v>
      </x:c>
      <x:c r="T51" s="2" t="str">
        <x:v>Pendiente de evidencia</x:v>
      </x:c>
      <x:c r="U51" s="2" t="str">
        <x:v>Debe incluir usuario, acción, módulo, fecha y detalle.</x:v>
      </x:c>
      <x:c r="V51" s="2" t="str">
        <x:v>Vincular con captura/código real antes de defensa final.</x:v>
      </x:c>
      <x:c r="W51" s="2" t="str">
        <x:v>Alto</x:v>
      </x:c>
      <x:c r="X51" s="2" t="str">
        <x:v>[37]; [39]</x:v>
      </x:c>
    </x:row>
    <x:row r="52">
      <x:c r="A52" s="2" t="str">
        <x:v>RNF-009</x:v>
      </x:c>
      <x:c r="B52" s="2" t="str">
        <x:v>No funcional</x:v>
      </x:c>
      <x:c r="C52" s="2" t="str">
        <x:v>MP-10</x:v>
      </x:c>
      <x:c r="D52" s="2" t="str">
        <x:v>P-041</x:v>
      </x:c>
      <x:c r="E52" s="2" t="str">
        <x:v>El modelo IA debe usar datos completos, actualizados y consistentes para generar predicciones.</x:v>
      </x:c>
      <x:c r="F52" s="2" t="str">
        <x:v>Sistema / administrador</x:v>
      </x:c>
      <x:c r="G52" s="2" t="str">
        <x:v>Alta</x:v>
      </x:c>
      <x:c r="H52" s="2" t="str">
        <x:v>OE3</x:v>
      </x:c>
      <x:c r="I52" s="2" t="str">
        <x:v>CU-041</x:v>
      </x:c>
      <x:c r="J52" s="2" t="str">
        <x:v>Calidad de datos IA</x:v>
      </x:c>
      <x:c r="K52" s="2" t="str">
        <x:v>dataQuality.service.ts; preprocessing</x:v>
      </x:c>
      <x:c r="L52" s="2" t="str">
        <x:v>dataset_ia, ventas, inventario</x:v>
      </x:c>
      <x:c r="M52" s="2" t="str">
        <x:v>Validación de dataset</x:v>
      </x:c>
      <x:c r="N52" s="2" t="str">
        <x:v>CP-051</x:v>
      </x:c>
      <x:c r="O52" s="2" t="str">
        <x:v>Calidad de datos / IA</x:v>
      </x:c>
      <x:c r="P52" s="2" t="str">
        <x:v>Dataset con nulos y valores válidos</x:v>
      </x:c>
      <x:c r="Q52" s="2" t="str">
        <x:v>Sistema identifica datos insuficientes o inconsistentes</x:v>
      </x:c>
      <x:c r="R52" s="2" t="str">
        <x:v>EV-051 Reporte calidad datos</x:v>
      </x:c>
      <x:c r="S52" s="2" t="str">
        <x:v>Implementado</x:v>
      </x:c>
      <x:c r="T52" s="2" t="str">
        <x:v>Pendiente de evidencia</x:v>
      </x:c>
      <x:c r="U52" s="2" t="str">
        <x:v>Debe documentarse la fuente y limpieza de datos.</x:v>
      </x:c>
      <x:c r="V52" s="2" t="str">
        <x:v>Vincular con captura/código real antes de defensa final.</x:v>
      </x:c>
      <x:c r="W52" s="2" t="str">
        <x:v>Alto</x:v>
      </x:c>
      <x:c r="X52" s="2" t="str">
        <x:v>[13]; [14]; [41]</x:v>
      </x:c>
    </x:row>
    <x:row r="53">
      <x:c r="A53" s="2" t="str">
        <x:v>RNF-010</x:v>
      </x:c>
      <x:c r="B53" s="2" t="str">
        <x:v>No funcional</x:v>
      </x:c>
      <x:c r="C53" s="2" t="str">
        <x:v>MP-10</x:v>
      </x:c>
      <x:c r="D53" s="2" t="str">
        <x:v>P-035</x:v>
      </x:c>
      <x:c r="E53" s="2" t="str">
        <x:v>El resultado del riesgo debe mostrarse de forma entendible para gerente o administrador.</x:v>
      </x:c>
      <x:c r="F53" s="2" t="str">
        <x:v>Gerente / administrador</x:v>
      </x:c>
      <x:c r="G53" s="2" t="str">
        <x:v>Alta</x:v>
      </x:c>
      <x:c r="H53" s="2" t="str">
        <x:v>OE4</x:v>
      </x:c>
      <x:c r="I53" s="2" t="str">
        <x:v>CU-035</x:v>
      </x:c>
      <x:c r="J53" s="2" t="str">
        <x:v>Interpretabilidad</x:v>
      </x:c>
      <x:c r="K53" s="2" t="str">
        <x:v>DashboardIA.tsx; riskExplanation.ts</x:v>
      </x:c>
      <x:c r="L53" s="2" t="str">
        <x:v>predicciones_riesgo, indicadores_riesgo</x:v>
      </x:c>
      <x:c r="M53" s="2" t="str">
        <x:v>Explicación de predicción</x:v>
      </x:c>
      <x:c r="N53" s="2" t="str">
        <x:v>CP-052</x:v>
      </x:c>
      <x:c r="O53" s="2" t="str">
        <x:v>Usabilidad / IA</x:v>
      </x:c>
      <x:c r="P53" s="2" t="str">
        <x:v>Riesgo bajo, medio y alto</x:v>
      </x:c>
      <x:c r="Q53" s="2" t="str">
        <x:v>Dashboard muestra nivel, causa e interpretación básica</x:v>
      </x:c>
      <x:c r="R53" s="2" t="str">
        <x:v>EV-052 Captura explicación riesgo</x:v>
      </x:c>
      <x:c r="S53" s="2" t="str">
        <x:v>Implementado</x:v>
      </x:c>
      <x:c r="T53" s="2" t="str">
        <x:v>Pendiente de evidencia</x:v>
      </x:c>
      <x:c r="U53" s="2" t="str">
        <x:v>El sistema debe apoyar la decisión, no automatizarla sin criterio humano.</x:v>
      </x:c>
      <x:c r="V53" s="2" t="str">
        <x:v>Vincular con captura/código real antes de defensa final.</x:v>
      </x:c>
      <x:c r="W53" s="2" t="str">
        <x:v>Alto</x:v>
      </x:c>
      <x:c r="X53" s="2" t="str">
        <x:v>[09]; [11]; [18]</x:v>
      </x:c>
    </x:row>
    <x:row r="54">
      <x:c r="A54" s="2" t="str">
        <x:v>RNF-011</x:v>
      </x:c>
      <x:c r="B54" s="2" t="str">
        <x:v>No funcional</x:v>
      </x:c>
      <x:c r="C54" s="2" t="str">
        <x:v>MP-11</x:v>
      </x:c>
      <x:c r="D54" s="2" t="str">
        <x:v>P-040</x:v>
      </x:c>
      <x:c r="E54" s="2" t="str">
        <x:v>El sistema debe permitir incorporar nuevos módulos o servicios sin rediseño completo.</x:v>
      </x:c>
      <x:c r="F54" s="2" t="str">
        <x:v>Desarrollador</x:v>
      </x:c>
      <x:c r="G54" s="2" t="str">
        <x:v>Media</x:v>
      </x:c>
      <x:c r="H54" s="2" t="str">
        <x:v>OE2</x:v>
      </x:c>
      <x:c r="I54" s="2" t="str">
        <x:v>CU-040</x:v>
      </x:c>
      <x:c r="J54" s="2" t="str">
        <x:v>Escalabilidad / modularidad</x:v>
      </x:c>
      <x:c r="K54" s="2" t="str">
        <x:v>Arquitectura modular; servicios separados</x:v>
      </x:c>
      <x:c r="L54" s="2" t="str">
        <x:v>No aplica</x:v>
      </x:c>
      <x:c r="M54" s="2" t="str">
        <x:v>Revisión arquitectura</x:v>
      </x:c>
      <x:c r="N54" s="2" t="str">
        <x:v>CP-053</x:v>
      </x:c>
      <x:c r="O54" s="2" t="str">
        <x:v>Revisión técnica</x:v>
      </x:c>
      <x:c r="P54" s="2" t="str">
        <x:v>Estructura proyecto y dependencias</x:v>
      </x:c>
      <x:c r="Q54" s="2" t="str">
        <x:v>Se identifican capas/módulos desacoplados</x:v>
      </x:c>
      <x:c r="R54" s="2" t="str">
        <x:v>EV-053 Diagrama/captura arquitectura</x:v>
      </x:c>
      <x:c r="S54" s="2" t="str">
        <x:v>Pendiente de código</x:v>
      </x:c>
      <x:c r="T54" s="2" t="str">
        <x:v>Diseñado</x:v>
      </x:c>
      <x:c r="U54" s="2" t="str">
        <x:v>Requiere revisión del repositorio para validación real.</x:v>
      </x:c>
      <x:c r="V54" s="2" t="str">
        <x:v>Vincular con captura/código real antes de defensa final.</x:v>
      </x:c>
      <x:c r="W54" s="2" t="str">
        <x:v>Medio</x:v>
      </x:c>
      <x:c r="X54" s="2" t="str">
        <x:v>[37]; [38]</x:v>
      </x:c>
    </x:row>
    <x:row r="55">
      <x:c r="A55" s="2" t="str">
        <x:v>RNF-012</x:v>
      </x:c>
      <x:c r="B55" s="2" t="str">
        <x:v>No funcional</x:v>
      </x:c>
      <x:c r="C55" s="2" t="str">
        <x:v>MP-11</x:v>
      </x:c>
      <x:c r="D55" s="2" t="str">
        <x:v>P-039</x:v>
      </x:c>
      <x:c r="E55" s="2" t="str">
        <x:v>La información crítica debe contar con mecanismos de respaldo o exportación.</x:v>
      </x:c>
      <x:c r="F55" s="2" t="str">
        <x:v>Administrador</x:v>
      </x:c>
      <x:c r="G55" s="2" t="str">
        <x:v>Media</x:v>
      </x:c>
      <x:c r="H55" s="2" t="str">
        <x:v>OE2</x:v>
      </x:c>
      <x:c r="I55" s="2" t="str">
        <x:v>CU-039</x:v>
      </x:c>
      <x:c r="J55" s="2" t="str">
        <x:v>Respaldo</x:v>
      </x:c>
      <x:c r="K55" s="2" t="str">
        <x:v>backup.service.ts; export.service.ts</x:v>
      </x:c>
      <x:c r="L55" s="2" t="str">
        <x:v>tablas críticas</x:v>
      </x:c>
      <x:c r="M55" s="2" t="str">
        <x:v>Exportación/respaldo lógico</x:v>
      </x:c>
      <x:c r="N55" s="2" t="str">
        <x:v>CP-054</x:v>
      </x:c>
      <x:c r="O55" s="2" t="str">
        <x:v>Operacional</x:v>
      </x:c>
      <x:c r="P55" s="2" t="str">
        <x:v>Solicitud de respaldo autorizada</x:v>
      </x:c>
      <x:c r="Q55" s="2" t="str">
        <x:v>Sistema genera respaldo o exportación controlada</x:v>
      </x:c>
      <x:c r="R55" s="2" t="str">
        <x:v>EV-054 Archivo respaldo</x:v>
      </x:c>
      <x:c r="S55" s="2" t="str">
        <x:v>En desarrollo</x:v>
      </x:c>
      <x:c r="T55" s="2" t="str">
        <x:v>Diseñado</x:v>
      </x:c>
      <x:c r="U55" s="2" t="str">
        <x:v>Debe restringirse a administrador.</x:v>
      </x:c>
      <x:c r="V55" s="2" t="str">
        <x:v>Vincular con captura/código real antes de defensa final.</x:v>
      </x:c>
      <x:c r="W55" s="2" t="str">
        <x:v>Alto</x:v>
      </x:c>
      <x:c r="X55" s="2" t="str">
        <x:v>[39]</x:v>
      </x:c>
    </x:row>
    <x:row r="56">
      <x:c r="A56" s="2" t="str">
        <x:v>RNF-013</x:v>
      </x:c>
      <x:c r="B56" s="2" t="str">
        <x:v>No funcional</x:v>
      </x:c>
      <x:c r="C56" s="2" t="str">
        <x:v>MP-07</x:v>
      </x:c>
      <x:c r="D56" s="2" t="str">
        <x:v>P-014</x:v>
      </x:c>
      <x:c r="E56" s="2" t="str">
        <x:v>El sistema debe proteger información sensible y evitar exposición no autorizada de datos.</x:v>
      </x:c>
      <x:c r="F56" s="2" t="str">
        <x:v>Todos</x:v>
      </x:c>
      <x:c r="G56" s="2" t="str">
        <x:v>Alta</x:v>
      </x:c>
      <x:c r="H56" s="2" t="str">
        <x:v>OE2</x:v>
      </x:c>
      <x:c r="I56" s="2" t="str">
        <x:v>CU-004</x:v>
      </x:c>
      <x:c r="J56" s="2" t="str">
        <x:v>Privacidad / seguridad</x:v>
      </x:c>
      <x:c r="K56" s="2" t="str">
        <x:v>auth.middleware.ts; validations</x:v>
      </x:c>
      <x:c r="L56" s="2" t="str">
        <x:v>usuarios, clientes, pagos</x:v>
      </x:c>
      <x:c r="M56" s="2" t="str">
        <x:v>Controles de acceso y validación</x:v>
      </x:c>
      <x:c r="N56" s="2" t="str">
        <x:v>CP-055</x:v>
      </x:c>
      <x:c r="O56" s="2" t="str">
        <x:v>Seguridad</x:v>
      </x:c>
      <x:c r="P56" s="2" t="str">
        <x:v>Intento de acceso no autorizado</x:v>
      </x:c>
      <x:c r="Q56" s="2" t="str">
        <x:v>El sistema bloquea acceso y no muestra datos sensibles</x:v>
      </x:c>
      <x:c r="R56" s="2" t="str">
        <x:v>EV-055 Captura acceso denegado</x:v>
      </x:c>
      <x:c r="S56" s="2" t="str">
        <x:v>En desarrollo</x:v>
      </x:c>
      <x:c r="T56" s="2" t="str">
        <x:v>Diseñado</x:v>
      </x:c>
      <x:c r="U56" s="2" t="str">
        <x:v>Debe revisarse también en API, no solo en interfaz.</x:v>
      </x:c>
      <x:c r="V56" s="2" t="str">
        <x:v>Vincular con captura/código real antes de defensa final.</x:v>
      </x:c>
      <x:c r="W56" s="2" t="str">
        <x:v>Alto</x:v>
      </x:c>
      <x:c r="X56" s="2" t="str">
        <x:v>[37]; [39]</x:v>
      </x:c>
    </x:row>
    <x:row r="57">
      <x:c r="A57" s="2" t="str">
        <x:v>RNF-014</x:v>
      </x:c>
      <x:c r="B57" s="2" t="str">
        <x:v>No funcional</x:v>
      </x:c>
      <x:c r="C57" s="2" t="str">
        <x:v>MP-10</x:v>
      </x:c>
      <x:c r="D57" s="2" t="str">
        <x:v>P-034</x:v>
      </x:c>
      <x:c r="E57" s="2" t="str">
        <x:v>Las predicciones deben registrar versión del modelo, fecha de ejecución y variables usadas.</x:v>
      </x:c>
      <x:c r="F57" s="2" t="str">
        <x:v>Sistema / administrador</x:v>
      </x:c>
      <x:c r="G57" s="2" t="str">
        <x:v>Alta</x:v>
      </x:c>
      <x:c r="H57" s="2" t="str">
        <x:v>OE3</x:v>
      </x:c>
      <x:c r="I57" s="2" t="str">
        <x:v>CU-034</x:v>
      </x:c>
      <x:c r="J57" s="2" t="str">
        <x:v>Gobernanza del modelo IA</x:v>
      </x:c>
      <x:c r="K57" s="2" t="str">
        <x:v>modelPrediction.service.ts; model_registry</x:v>
      </x:c>
      <x:c r="L57" s="2" t="str">
        <x:v>predicciones_riesgo, modelo_versiones</x:v>
      </x:c>
      <x:c r="M57" s="2" t="str">
        <x:v>Registro de predicción</x:v>
      </x:c>
      <x:c r="N57" s="2" t="str">
        <x:v>CP-056</x:v>
      </x:c>
      <x:c r="O57" s="2" t="str">
        <x:v>IA / trazabilidad modelo</x:v>
      </x:c>
      <x:c r="P57" s="2" t="str">
        <x:v>Ejecución de predicción</x:v>
      </x:c>
      <x:c r="Q57" s="2" t="str">
        <x:v>Resultado guarda versión, variables y fecha</x:v>
      </x:c>
      <x:c r="R57" s="2" t="str">
        <x:v>EV-056 Registro predicción con versión</x:v>
      </x:c>
      <x:c r="S57" s="2" t="str">
        <x:v>En desarrollo</x:v>
      </x:c>
      <x:c r="T57" s="2" t="str">
        <x:v>Diseñado</x:v>
      </x:c>
      <x:c r="U57" s="2" t="str">
        <x:v>Necesario para reproducibilidad y defensa técnica.</x:v>
      </x:c>
      <x:c r="V57" s="2" t="str">
        <x:v>Vincular con captura/código real antes de defensa final.</x:v>
      </x:c>
      <x:c r="W57" s="2" t="str">
        <x:v>Alto</x:v>
      </x:c>
      <x:c r="X57" s="2" t="str">
        <x:v>[09]; [18]; [41]; [42]</x:v>
      </x:c>
    </x:row>
  </x:sheetData>
  <x:conditionalFormatting sqref="S2:S57">
    <x:cfRule type="expression" dxfId="0" priority="1">
      <x:formula>S2="Implementado"</x:formula>
    </x:cfRule>
    <x:cfRule type="expression" dxfId="1" priority="2">
      <x:formula>S2="En desarrollo"</x:formula>
    </x:cfRule>
    <x:cfRule type="expression" dxfId="2" priority="3">
      <x:formula>OR(S2="Pendiente",S2="Pendiente de código")</x:formula>
    </x:cfRule>
  </x:conditionalFormatting>
  <x:conditionalFormatting sqref="T2:T57">
    <x:cfRule type="expression" dxfId="3" priority="4">
      <x:formula>T2="Pendiente de evidencia"</x:formula>
    </x:cfRule>
    <x:cfRule type="expression" dxfId="4" priority="5">
      <x:formula>T2="Diseñado"</x:formula>
    </x:cfRule>
  </x:conditionalFormatting>
  <x:conditionalFormatting sqref="W2:W57">
    <x:cfRule type="expression" dxfId="5" priority="6">
      <x:formula>W2="Alto"</x:formula>
    </x:cfRule>
    <x:cfRule type="expression" dxfId="6" priority="7">
      <x:formula>W2="Medio"</x:formula>
    </x:cfRule>
    <x:cfRule type="expression" dxfId="7" priority="8">
      <x:formula>W2="Bajo"</x:formula>
    </x:cfRule>
  </x:conditionalFormatting>
  <x:dataValidations count="4">
    <x:dataValidation type="list" sqref="G2:G57">
      <x:formula1>"Alta,Media,Baja"</x:formula1>
    </x:dataValidation>
    <x:dataValidation type="list" sqref="S2:S57">
      <x:formula1>"Implementado,En desarrollo,Pendiente,Pendiente de código"</x:formula1>
    </x:dataValidation>
    <x:dataValidation type="list" sqref="T2:T57">
      <x:formula1>"Aprobado,Pendiente de evidencia,Diseñado,Observado,No iniciado"</x:formula1>
    </x:dataValidation>
    <x:dataValidation type="list" sqref="W2:W57">
      <x:formula1>"Alto,Medio,Bajo"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fc9fa9324544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0" hidden="0" customWidth="1"/>
    <x:col min="4" max="4" width="38" hidden="0" customWidth="1"/>
    <x:col min="5" max="5" width="14" hidden="0" customWidth="1"/>
    <x:col min="6" max="6" width="18" hidden="0" customWidth="1"/>
    <x:col min="7" max="7" width="20" hidden="0" customWidth="1"/>
    <x:col min="8" max="8" width="12" hidden="0" customWidth="1"/>
    <x:col min="9" max="9" width="36" hidden="0" customWidth="1"/>
  </x:cols>
  <x:sheetData>
    <x:row r="1">
      <x:c r="A1" s="52" t="str">
        <x:v>Código proceso</x:v>
      </x:c>
      <x:c r="B1" s="52" t="str">
        <x:v>Código macroproceso</x:v>
      </x:c>
      <x:c r="C1" s="52" t="str">
        <x:v>Macroproceso</x:v>
      </x:c>
      <x:c r="D1" s="52" t="str">
        <x:v>Proceso identificado</x:v>
      </x:c>
      <x:c r="E1" s="52" t="str">
        <x:v>Tipo de proceso</x:v>
      </x:c>
      <x:c r="F1" s="52" t="str">
        <x:v>Sistematización</x:v>
      </x:c>
      <x:c r="G1" s="52" t="str">
        <x:v>Requisito asociado</x:v>
      </x:c>
      <x:c r="H1" s="52" t="str">
        <x:v>Prioridad</x:v>
      </x:c>
      <x:c r="I1" s="52" t="str">
        <x:v>Justificación de sistematización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P-001</x:v>
      </x:c>
      <x:c r="B2" s="2" t="str">
        <x:v>MP-01</x:v>
      </x:c>
      <x:c r="C2" s="2" t="str">
        <x:v>Gestión estratégica y diagnóstico digital</x:v>
      </x:c>
      <x:c r="D2" s="2" t="str">
        <x:v>Diagnosticar necesidades de digitalización</x:v>
      </x:c>
      <x:c r="E2" s="2" t="str">
        <x:v>Gestión</x:v>
      </x:c>
      <x:c r="F2" s="2" t="str">
        <x:v>Parcial</x:v>
      </x:c>
      <x:c r="G2" s="2" t="str">
        <x:v>Documento de análisis / RF-001</x:v>
      </x:c>
      <x:c r="H2" s="2" t="str">
        <x:v>Media</x:v>
      </x:c>
      <x:c r="I2" s="2" t="str">
        <x:v>Proceso complementario cubierto parcialmente por la primera versión.</x:v>
      </x:c>
    </x:row>
    <x:row r="3">
      <x:c r="A3" s="2" t="str">
        <x:v>P-002</x:v>
      </x:c>
      <x:c r="B3" s="2" t="str">
        <x:v>MP-04</x:v>
      </x:c>
      <x:c r="C3" s="2" t="str">
        <x:v>Gestión de productos y catálogo digital</x:v>
      </x:c>
      <x:c r="D3" s="2" t="str">
        <x:v>Definir catálogo digital de productos</x:v>
      </x:c>
      <x:c r="E3" s="2" t="str">
        <x:v>Operativo</x:v>
      </x:c>
      <x:c r="F3" s="2" t="str">
        <x:v>Sí</x:v>
      </x:c>
      <x:c r="G3" s="2" t="str">
        <x:v>RF-006, RF-007</x:v>
      </x:c>
      <x:c r="H3" s="2" t="str">
        <x:v>Alta</x:v>
      </x:c>
      <x:c r="I3" s="2" t="str">
        <x:v>Proceso crítico del alcance funcional de la tesis.</x:v>
      </x:c>
    </x:row>
    <x:row r="4">
      <x:c r="A4" s="2" t="str">
        <x:v>P-003</x:v>
      </x:c>
      <x:c r="B4" s="2" t="str">
        <x:v>MP-04</x:v>
      </x:c>
      <x:c r="C4" s="2" t="str">
        <x:v>Gestión de productos y catálogo digital</x:v>
      </x:c>
      <x:c r="D4" s="2" t="str">
        <x:v>Registrar producto de calzado</x:v>
      </x:c>
      <x:c r="E4" s="2" t="str">
        <x:v>Operativo</x:v>
      </x:c>
      <x:c r="F4" s="2" t="str">
        <x:v>Sí</x:v>
      </x:c>
      <x:c r="G4" s="2" t="str">
        <x:v>RF-006</x:v>
      </x:c>
      <x:c r="H4" s="2" t="str">
        <x:v>Alta</x:v>
      </x:c>
      <x:c r="I4" s="2" t="str">
        <x:v>Proceso crítico del alcance funcional de la tesis.</x:v>
      </x:c>
    </x:row>
    <x:row r="5">
      <x:c r="A5" s="2" t="str">
        <x:v>P-004</x:v>
      </x:c>
      <x:c r="B5" s="2" t="str">
        <x:v>MP-04</x:v>
      </x:c>
      <x:c r="C5" s="2" t="str">
        <x:v>Gestión de productos y catálogo digital</x:v>
      </x:c>
      <x:c r="D5" s="2" t="str">
        <x:v>Editar información de producto</x:v>
      </x:c>
      <x:c r="E5" s="2" t="str">
        <x:v>Operativo</x:v>
      </x:c>
      <x:c r="F5" s="2" t="str">
        <x:v>Sí</x:v>
      </x:c>
      <x:c r="G5" s="2" t="str">
        <x:v>RF-007</x:v>
      </x:c>
      <x:c r="H5" s="2" t="str">
        <x:v>Alta</x:v>
      </x:c>
      <x:c r="I5" s="2" t="str">
        <x:v>Proceso crítico del alcance funcional de la tesis.</x:v>
      </x:c>
    </x:row>
    <x:row r="6">
      <x:c r="A6" s="2" t="str">
        <x:v>P-005</x:v>
      </x:c>
      <x:c r="B6" s="2" t="str">
        <x:v>MP-04</x:v>
      </x:c>
      <x:c r="C6" s="2" t="str">
        <x:v>Gestión de productos y catálogo digital</x:v>
      </x:c>
      <x:c r="D6" s="2" t="str">
        <x:v>Desactivar producto no disponible</x:v>
      </x:c>
      <x:c r="E6" s="2" t="str">
        <x:v>Operativo</x:v>
      </x:c>
      <x:c r="F6" s="2" t="str">
        <x:v>Sí</x:v>
      </x:c>
      <x:c r="G6" s="2" t="str">
        <x:v>RF-008</x:v>
      </x:c>
      <x:c r="H6" s="2" t="str">
        <x:v>Media</x:v>
      </x:c>
      <x:c r="I6" s="2" t="str">
        <x:v>Proceso crítico del alcance funcional de la tesis.</x:v>
      </x:c>
    </x:row>
    <x:row r="7">
      <x:c r="A7" s="2" t="str">
        <x:v>P-006</x:v>
      </x:c>
      <x:c r="B7" s="2" t="str">
        <x:v>MP-04</x:v>
      </x:c>
      <x:c r="C7" s="2" t="str">
        <x:v>Gestión de productos y catálogo digital</x:v>
      </x:c>
      <x:c r="D7" s="2" t="str">
        <x:v>Clasificar productos por categoría, marca, talla, color y género</x:v>
      </x:c>
      <x:c r="E7" s="2" t="str">
        <x:v>Operativo</x:v>
      </x:c>
      <x:c r="F7" s="2" t="str">
        <x:v>Sí</x:v>
      </x:c>
      <x:c r="G7" s="2" t="str">
        <x:v>RF-009</x:v>
      </x:c>
      <x:c r="H7" s="2" t="str">
        <x:v>Alta</x:v>
      </x:c>
      <x:c r="I7" s="2" t="str">
        <x:v>Proceso crítico del alcance funcional de la tesis.</x:v>
      </x:c>
    </x:row>
    <x:row r="8">
      <x:c r="A8" s="2" t="str">
        <x:v>P-007</x:v>
      </x:c>
      <x:c r="B8" s="2" t="str">
        <x:v>MP-05</x:v>
      </x:c>
      <x:c r="C8" s="2" t="str">
        <x:v>Gestión de inventario y stock</x:v>
      </x:c>
      <x:c r="D8" s="2" t="str">
        <x:v>Registrar entrada de mercadería</x:v>
      </x:c>
      <x:c r="E8" s="2" t="str">
        <x:v>Operativo</x:v>
      </x:c>
      <x:c r="F8" s="2" t="str">
        <x:v>Sí</x:v>
      </x:c>
      <x:c r="G8" s="2" t="str">
        <x:v>RF-010</x:v>
      </x:c>
      <x:c r="H8" s="2" t="str">
        <x:v>Alta</x:v>
      </x:c>
      <x:c r="I8" s="2" t="str">
        <x:v>Proceso crítico del alcance funcional de la tesis.</x:v>
      </x:c>
    </x:row>
    <x:row r="9">
      <x:c r="A9" s="2" t="str">
        <x:v>P-008</x:v>
      </x:c>
      <x:c r="B9" s="2" t="str">
        <x:v>MP-05</x:v>
      </x:c>
      <x:c r="C9" s="2" t="str">
        <x:v>Gestión de inventario y stock</x:v>
      </x:c>
      <x:c r="D9" s="2" t="str">
        <x:v>Controlar stock disponible</x:v>
      </x:c>
      <x:c r="E9" s="2" t="str">
        <x:v>Operativo</x:v>
      </x:c>
      <x:c r="F9" s="2" t="str">
        <x:v>Sí</x:v>
      </x:c>
      <x:c r="G9" s="2" t="str">
        <x:v>RF-011</x:v>
      </x:c>
      <x:c r="H9" s="2" t="str">
        <x:v>Alta</x:v>
      </x:c>
      <x:c r="I9" s="2" t="str">
        <x:v>Proceso crítico del alcance funcional de la tesis.</x:v>
      </x:c>
    </x:row>
    <x:row r="10">
      <x:c r="A10" s="2" t="str">
        <x:v>P-009</x:v>
      </x:c>
      <x:c r="B10" s="2" t="str">
        <x:v>MP-05</x:v>
      </x:c>
      <x:c r="C10" s="2" t="str">
        <x:v>Gestión de inventario y stock</x:v>
      </x:c>
      <x:c r="D10" s="2" t="str">
        <x:v>Generar alerta de stock mínimo</x:v>
      </x:c>
      <x:c r="E10" s="2" t="str">
        <x:v>Operativo</x:v>
      </x:c>
      <x:c r="F10" s="2" t="str">
        <x:v>Sí</x:v>
      </x:c>
      <x:c r="G10" s="2" t="str">
        <x:v>RF-012</x:v>
      </x:c>
      <x:c r="H10" s="2" t="str">
        <x:v>Alta</x:v>
      </x:c>
      <x:c r="I10" s="2" t="str">
        <x:v>Proceso crítico del alcance funcional de la tesis.</x:v>
      </x:c>
    </x:row>
    <x:row r="11">
      <x:c r="A11" s="2" t="str">
        <x:v>P-010</x:v>
      </x:c>
      <x:c r="B11" s="2" t="str">
        <x:v>MP-05</x:v>
      </x:c>
      <x:c r="C11" s="2" t="str">
        <x:v>Gestión de inventario y stock</x:v>
      </x:c>
      <x:c r="D11" s="2" t="str">
        <x:v>Registrar ajuste por devolución, merma o corrección</x:v>
      </x:c>
      <x:c r="E11" s="2" t="str">
        <x:v>Operativo</x:v>
      </x:c>
      <x:c r="F11" s="2" t="str">
        <x:v>Parcial</x:v>
      </x:c>
      <x:c r="G11" s="2" t="str">
        <x:v>RF-013</x:v>
      </x:c>
      <x:c r="H11" s="2" t="str">
        <x:v>Media</x:v>
      </x:c>
      <x:c r="I11" s="2" t="str">
        <x:v>Proceso complementario cubierto parcialmente por la primera versión.</x:v>
      </x:c>
    </x:row>
    <x:row r="12">
      <x:c r="A12" s="2" t="str">
        <x:v>P-011</x:v>
      </x:c>
      <x:c r="B12" s="2" t="str">
        <x:v>MP-06</x:v>
      </x:c>
      <x:c r="C12" s="2" t="str">
        <x:v>Gestión de pedidos y comercio electrónico</x:v>
      </x:c>
      <x:c r="D12" s="2" t="str">
        <x:v>Consultar catálogo desde el portal web</x:v>
      </x:c>
      <x:c r="E12" s="2" t="str">
        <x:v>Operativo</x:v>
      </x:c>
      <x:c r="F12" s="2" t="str">
        <x:v>Sí</x:v>
      </x:c>
      <x:c r="G12" s="2" t="str">
        <x:v>RF-014</x:v>
      </x:c>
      <x:c r="H12" s="2" t="str">
        <x:v>Alta</x:v>
      </x:c>
      <x:c r="I12" s="2" t="str">
        <x:v>Proceso crítico del alcance funcional de la tesis.</x:v>
      </x:c>
    </x:row>
    <x:row r="13">
      <x:c r="A13" s="2" t="str">
        <x:v>P-012</x:v>
      </x:c>
      <x:c r="B13" s="2" t="str">
        <x:v>MP-08</x:v>
      </x:c>
      <x:c r="C13" s="2" t="str">
        <x:v>Gestión de clientes y atención postventa</x:v>
      </x:c>
      <x:c r="D13" s="2" t="str">
        <x:v>Registrar cliente</x:v>
      </x:c>
      <x:c r="E13" s="2" t="str">
        <x:v>Soporte</x:v>
      </x:c>
      <x:c r="F13" s="2" t="str">
        <x:v>Sí</x:v>
      </x:c>
      <x:c r="G13" s="2" t="str">
        <x:v>RF-015</x:v>
      </x:c>
      <x:c r="H13" s="2" t="str">
        <x:v>Alta</x:v>
      </x:c>
      <x:c r="I13" s="2" t="str">
        <x:v>Proceso crítico del alcance funcional de la tesis.</x:v>
      </x:c>
    </x:row>
    <x:row r="14">
      <x:c r="A14" s="2" t="str">
        <x:v>P-013</x:v>
      </x:c>
      <x:c r="B14" s="2" t="str">
        <x:v>MP-07</x:v>
      </x:c>
      <x:c r="C14" s="2" t="str">
        <x:v>Gestión de usuarios, autenticación y seguridad</x:v>
      </x:c>
      <x:c r="D14" s="2" t="str">
        <x:v>Iniciar sesión en el sistema</x:v>
      </x:c>
      <x:c r="E14" s="2" t="str">
        <x:v>Soporte</x:v>
      </x:c>
      <x:c r="F14" s="2" t="str">
        <x:v>Sí</x:v>
      </x:c>
      <x:c r="G14" s="2" t="str">
        <x:v>RF-002</x:v>
      </x:c>
      <x:c r="H14" s="2" t="str">
        <x:v>Alta</x:v>
      </x:c>
      <x:c r="I14" s="2" t="str">
        <x:v>Proceso crítico del alcance funcional de la tesis.</x:v>
      </x:c>
    </x:row>
    <x:row r="15">
      <x:c r="A15" s="2" t="str">
        <x:v>P-014</x:v>
      </x:c>
      <x:c r="B15" s="2" t="str">
        <x:v>MP-07</x:v>
      </x:c>
      <x:c r="C15" s="2" t="str">
        <x:v>Gestión de usuarios, autenticación y seguridad</x:v>
      </x:c>
      <x:c r="D15" s="2" t="str">
        <x:v>Gestionar roles y permisos</x:v>
      </x:c>
      <x:c r="E15" s="2" t="str">
        <x:v>Soporte</x:v>
      </x:c>
      <x:c r="F15" s="2" t="str">
        <x:v>Sí</x:v>
      </x:c>
      <x:c r="G15" s="2" t="str">
        <x:v>RF-003, RF-004</x:v>
      </x:c>
      <x:c r="H15" s="2" t="str">
        <x:v>Alta</x:v>
      </x:c>
      <x:c r="I15" s="2" t="str">
        <x:v>Proceso crítico del alcance funcional de la tesis.</x:v>
      </x:c>
    </x:row>
    <x:row r="16">
      <x:c r="A16" s="2" t="str">
        <x:v>P-015</x:v>
      </x:c>
      <x:c r="B16" s="2" t="str">
        <x:v>MP-07</x:v>
      </x:c>
      <x:c r="C16" s="2" t="str">
        <x:v>Gestión de usuarios, autenticación y seguridad</x:v>
      </x:c>
      <x:c r="D16" s="2" t="str">
        <x:v>Recuperar o restablecer acceso</x:v>
      </x:c>
      <x:c r="E16" s="2" t="str">
        <x:v>Soporte</x:v>
      </x:c>
      <x:c r="F16" s="2" t="str">
        <x:v>Parcial</x:v>
      </x:c>
      <x:c r="G16" s="2" t="str">
        <x:v>RF-005</x:v>
      </x:c>
      <x:c r="H16" s="2" t="str">
        <x:v>Media</x:v>
      </x:c>
      <x:c r="I16" s="2" t="str">
        <x:v>Proceso complementario cubierto parcialmente por la primera versión.</x:v>
      </x:c>
    </x:row>
    <x:row r="17">
      <x:c r="A17" s="2" t="str">
        <x:v>P-016</x:v>
      </x:c>
      <x:c r="B17" s="2" t="str">
        <x:v>MP-06</x:v>
      </x:c>
      <x:c r="C17" s="2" t="str">
        <x:v>Gestión de pedidos y comercio electrónico</x:v>
      </x:c>
      <x:c r="D17" s="2" t="str">
        <x:v>Agregar producto al carrito</x:v>
      </x:c>
      <x:c r="E17" s="2" t="str">
        <x:v>Operativo</x:v>
      </x:c>
      <x:c r="F17" s="2" t="str">
        <x:v>Sí</x:v>
      </x:c>
      <x:c r="G17" s="2" t="str">
        <x:v>RF-016</x:v>
      </x:c>
      <x:c r="H17" s="2" t="str">
        <x:v>Alta</x:v>
      </x:c>
      <x:c r="I17" s="2" t="str">
        <x:v>Proceso crítico del alcance funcional de la tesis.</x:v>
      </x:c>
    </x:row>
    <x:row r="18">
      <x:c r="A18" s="2" t="str">
        <x:v>P-017</x:v>
      </x:c>
      <x:c r="B18" s="2" t="str">
        <x:v>MP-06</x:v>
      </x:c>
      <x:c r="C18" s="2" t="str">
        <x:v>Gestión de pedidos y comercio electrónico</x:v>
      </x:c>
      <x:c r="D18" s="2" t="str">
        <x:v>Registrar pedido en línea</x:v>
      </x:c>
      <x:c r="E18" s="2" t="str">
        <x:v>Operativo</x:v>
      </x:c>
      <x:c r="F18" s="2" t="str">
        <x:v>Sí</x:v>
      </x:c>
      <x:c r="G18" s="2" t="str">
        <x:v>RF-017</x:v>
      </x:c>
      <x:c r="H18" s="2" t="str">
        <x:v>Alta</x:v>
      </x:c>
      <x:c r="I18" s="2" t="str">
        <x:v>Proceso crítico del alcance funcional de la tesis.</x:v>
      </x:c>
    </x:row>
    <x:row r="19">
      <x:c r="A19" s="2" t="str">
        <x:v>P-018</x:v>
      </x:c>
      <x:c r="B19" s="2" t="str">
        <x:v>MP-06</x:v>
      </x:c>
      <x:c r="C19" s="2" t="str">
        <x:v>Gestión de pedidos y comercio electrónico</x:v>
      </x:c>
      <x:c r="D19" s="2" t="str">
        <x:v>Validar disponibilidad antes del pedido</x:v>
      </x:c>
      <x:c r="E19" s="2" t="str">
        <x:v>Operativo</x:v>
      </x:c>
      <x:c r="F19" s="2" t="str">
        <x:v>Sí</x:v>
      </x:c>
      <x:c r="G19" s="2" t="str">
        <x:v>RF-018</x:v>
      </x:c>
      <x:c r="H19" s="2" t="str">
        <x:v>Alta</x:v>
      </x:c>
      <x:c r="I19" s="2" t="str">
        <x:v>Proceso crítico del alcance funcional de la tesis.</x:v>
      </x:c>
    </x:row>
    <x:row r="20">
      <x:c r="A20" s="2" t="str">
        <x:v>P-019</x:v>
      </x:c>
      <x:c r="B20" s="2" t="str">
        <x:v>MP-06</x:v>
      </x:c>
      <x:c r="C20" s="2" t="str">
        <x:v>Gestión de pedidos y comercio electrónico</x:v>
      </x:c>
      <x:c r="D20" s="2" t="str">
        <x:v>Actualizar estado del pedido</x:v>
      </x:c>
      <x:c r="E20" s="2" t="str">
        <x:v>Operativo</x:v>
      </x:c>
      <x:c r="F20" s="2" t="str">
        <x:v>Sí</x:v>
      </x:c>
      <x:c r="G20" s="2" t="str">
        <x:v>RF-019</x:v>
      </x:c>
      <x:c r="H20" s="2" t="str">
        <x:v>Alta</x:v>
      </x:c>
      <x:c r="I20" s="2" t="str">
        <x:v>Proceso crítico del alcance funcional de la tesis.</x:v>
      </x:c>
    </x:row>
    <x:row r="21">
      <x:c r="A21" s="2" t="str">
        <x:v>P-020</x:v>
      </x:c>
      <x:c r="B21" s="2" t="str">
        <x:v>MP-03</x:v>
      </x:c>
      <x:c r="C21" s="2" t="str">
        <x:v>Gestión comercial y ventas</x:v>
      </x:c>
      <x:c r="D21" s="2" t="str">
        <x:v>Registrar pago de venta o pedido</x:v>
      </x:c>
      <x:c r="E21" s="2" t="str">
        <x:v>Operativo</x:v>
      </x:c>
      <x:c r="F21" s="2" t="str">
        <x:v>Sí</x:v>
      </x:c>
      <x:c r="G21" s="2" t="str">
        <x:v>RF-020</x:v>
      </x:c>
      <x:c r="H21" s="2" t="str">
        <x:v>Alta</x:v>
      </x:c>
      <x:c r="I21" s="2" t="str">
        <x:v>Proceso crítico del alcance funcional de la tesis.</x:v>
      </x:c>
    </x:row>
    <x:row r="22">
      <x:c r="A22" s="2" t="str">
        <x:v>P-021</x:v>
      </x:c>
      <x:c r="B22" s="2" t="str">
        <x:v>MP-03</x:v>
      </x:c>
      <x:c r="C22" s="2" t="str">
        <x:v>Gestión comercial y ventas</x:v>
      </x:c>
      <x:c r="D22" s="2" t="str">
        <x:v>Emitir comprobante interno</x:v>
      </x:c>
      <x:c r="E22" s="2" t="str">
        <x:v>Operativo</x:v>
      </x:c>
      <x:c r="F22" s="2" t="str">
        <x:v>Sí</x:v>
      </x:c>
      <x:c r="G22" s="2" t="str">
        <x:v>RF-021</x:v>
      </x:c>
      <x:c r="H22" s="2" t="str">
        <x:v>Media</x:v>
      </x:c>
      <x:c r="I22" s="2" t="str">
        <x:v>Proceso crítico del alcance funcional de la tesis.</x:v>
      </x:c>
    </x:row>
    <x:row r="23">
      <x:c r="A23" s="2" t="str">
        <x:v>P-022</x:v>
      </x:c>
      <x:c r="B23" s="2" t="str">
        <x:v>MP-03</x:v>
      </x:c>
      <x:c r="C23" s="2" t="str">
        <x:v>Gestión comercial y ventas</x:v>
      </x:c>
      <x:c r="D23" s="2" t="str">
        <x:v>Registrar venta presencial</x:v>
      </x:c>
      <x:c r="E23" s="2" t="str">
        <x:v>Operativo</x:v>
      </x:c>
      <x:c r="F23" s="2" t="str">
        <x:v>Sí</x:v>
      </x:c>
      <x:c r="G23" s="2" t="str">
        <x:v>RF-022</x:v>
      </x:c>
      <x:c r="H23" s="2" t="str">
        <x:v>Alta</x:v>
      </x:c>
      <x:c r="I23" s="2" t="str">
        <x:v>Proceso crítico del alcance funcional de la tesis.</x:v>
      </x:c>
    </x:row>
    <x:row r="24">
      <x:c r="A24" s="2" t="str">
        <x:v>P-023</x:v>
      </x:c>
      <x:c r="B24" s="2" t="str">
        <x:v>MP-03</x:v>
      </x:c>
      <x:c r="C24" s="2" t="str">
        <x:v>Gestión comercial y ventas</x:v>
      </x:c>
      <x:c r="D24" s="2" t="str">
        <x:v>Calcular total, subtotal, descuentos y método de pago</x:v>
      </x:c>
      <x:c r="E24" s="2" t="str">
        <x:v>Operativo</x:v>
      </x:c>
      <x:c r="F24" s="2" t="str">
        <x:v>Sí</x:v>
      </x:c>
      <x:c r="G24" s="2" t="str">
        <x:v>RF-023</x:v>
      </x:c>
      <x:c r="H24" s="2" t="str">
        <x:v>Alta</x:v>
      </x:c>
      <x:c r="I24" s="2" t="str">
        <x:v>Proceso crítico del alcance funcional de la tesis.</x:v>
      </x:c>
    </x:row>
    <x:row r="25">
      <x:c r="A25" s="2" t="str">
        <x:v>P-024</x:v>
      </x:c>
      <x:c r="B25" s="2" t="str">
        <x:v>MP-05</x:v>
      </x:c>
      <x:c r="C25" s="2" t="str">
        <x:v>Gestión de inventario y stock</x:v>
      </x:c>
      <x:c r="D25" s="2" t="str">
        <x:v>Descontar stock por venta confirmada</x:v>
      </x:c>
      <x:c r="E25" s="2" t="str">
        <x:v>Operativo</x:v>
      </x:c>
      <x:c r="F25" s="2" t="str">
        <x:v>Sí</x:v>
      </x:c>
      <x:c r="G25" s="2" t="str">
        <x:v>RF-024</x:v>
      </x:c>
      <x:c r="H25" s="2" t="str">
        <x:v>Alta</x:v>
      </x:c>
      <x:c r="I25" s="2" t="str">
        <x:v>Proceso crítico del alcance funcional de la tesis.</x:v>
      </x:c>
    </x:row>
    <x:row r="26">
      <x:c r="A26" s="2" t="str">
        <x:v>P-025</x:v>
      </x:c>
      <x:c r="B26" s="2" t="str">
        <x:v>MP-08</x:v>
      </x:c>
      <x:c r="C26" s="2" t="str">
        <x:v>Gestión de clientes y atención postventa</x:v>
      </x:c>
      <x:c r="D26" s="2" t="str">
        <x:v>Registrar devolución o cambio de producto</x:v>
      </x:c>
      <x:c r="E26" s="2" t="str">
        <x:v>Soporte</x:v>
      </x:c>
      <x:c r="F26" s="2" t="str">
        <x:v>Parcial</x:v>
      </x:c>
      <x:c r="G26" s="2" t="str">
        <x:v>RF-025</x:v>
      </x:c>
      <x:c r="H26" s="2" t="str">
        <x:v>Media</x:v>
      </x:c>
      <x:c r="I26" s="2" t="str">
        <x:v>Proceso complementario cubierto parcialmente por la primera versión.</x:v>
      </x:c>
    </x:row>
    <x:row r="27">
      <x:c r="A27" s="2" t="str">
        <x:v>P-026</x:v>
      </x:c>
      <x:c r="B27" s="2" t="str">
        <x:v>MP-09</x:v>
      </x:c>
      <x:c r="C27" s="2" t="str">
        <x:v>Gestión de proveedores y compras</x:v>
      </x:c>
      <x:c r="D27" s="2" t="str">
        <x:v>Registrar proveedor</x:v>
      </x:c>
      <x:c r="E27" s="2" t="str">
        <x:v>Soporte</x:v>
      </x:c>
      <x:c r="F27" s="2" t="str">
        <x:v>Parcial</x:v>
      </x:c>
      <x:c r="G27" s="2" t="str">
        <x:v>RF-026</x:v>
      </x:c>
      <x:c r="H27" s="2" t="str">
        <x:v>Media</x:v>
      </x:c>
      <x:c r="I27" s="2" t="str">
        <x:v>Proceso complementario cubierto parcialmente por la primera versión.</x:v>
      </x:c>
    </x:row>
    <x:row r="28">
      <x:c r="A28" s="2" t="str">
        <x:v>P-027</x:v>
      </x:c>
      <x:c r="B28" s="2" t="str">
        <x:v>MP-09</x:v>
      </x:c>
      <x:c r="C28" s="2" t="str">
        <x:v>Gestión de proveedores y compras</x:v>
      </x:c>
      <x:c r="D28" s="2" t="str">
        <x:v>Registrar compra de mercadería</x:v>
      </x:c>
      <x:c r="E28" s="2" t="str">
        <x:v>Soporte</x:v>
      </x:c>
      <x:c r="F28" s="2" t="str">
        <x:v>Parcial</x:v>
      </x:c>
      <x:c r="G28" s="2" t="str">
        <x:v>RF-027</x:v>
      </x:c>
      <x:c r="H28" s="2" t="str">
        <x:v>Media</x:v>
      </x:c>
      <x:c r="I28" s="2" t="str">
        <x:v>Proceso complementario cubierto parcialmente por la primera versión.</x:v>
      </x:c>
    </x:row>
    <x:row r="29">
      <x:c r="A29" s="2" t="str">
        <x:v>P-028</x:v>
      </x:c>
      <x:c r="B29" s="2" t="str">
        <x:v>MP-08</x:v>
      </x:c>
      <x:c r="C29" s="2" t="str">
        <x:v>Gestión de clientes y atención postventa</x:v>
      </x:c>
      <x:c r="D29" s="2" t="str">
        <x:v>Consultar historial de cliente</x:v>
      </x:c>
      <x:c r="E29" s="2" t="str">
        <x:v>Soporte</x:v>
      </x:c>
      <x:c r="F29" s="2" t="str">
        <x:v>Sí</x:v>
      </x:c>
      <x:c r="G29" s="2" t="str">
        <x:v>RF-028</x:v>
      </x:c>
      <x:c r="H29" s="2" t="str">
        <x:v>Media</x:v>
      </x:c>
      <x:c r="I29" s="2" t="str">
        <x:v>Proceso crítico del alcance funcional de la tesis.</x:v>
      </x:c>
    </x:row>
    <x:row r="30">
      <x:c r="A30" s="2" t="str">
        <x:v>P-029</x:v>
      </x:c>
      <x:c r="B30" s="2" t="str">
        <x:v>MP-10</x:v>
      </x:c>
      <x:c r="C30" s="2" t="str">
        <x:v>Analítica, reportes e inteligencia artificial</x:v>
      </x:c>
      <x:c r="D30" s="2" t="str">
        <x:v>Generar reporte de ventas</x:v>
      </x:c>
      <x:c r="E30" s="2" t="str">
        <x:v>Tecnológico</x:v>
      </x:c>
      <x:c r="F30" s="2" t="str">
        <x:v>Sí</x:v>
      </x:c>
      <x:c r="G30" s="2" t="str">
        <x:v>RF-029</x:v>
      </x:c>
      <x:c r="H30" s="2" t="str">
        <x:v>Alta</x:v>
      </x:c>
      <x:c r="I30" s="2" t="str">
        <x:v>Proceso crítico del alcance funcional de la tesis.</x:v>
      </x:c>
    </x:row>
    <x:row r="31">
      <x:c r="A31" s="2" t="str">
        <x:v>P-030</x:v>
      </x:c>
      <x:c r="B31" s="2" t="str">
        <x:v>MP-10</x:v>
      </x:c>
      <x:c r="C31" s="2" t="str">
        <x:v>Analítica, reportes e inteligencia artificial</x:v>
      </x:c>
      <x:c r="D31" s="2" t="str">
        <x:v>Generar reporte de productos más vendidos</x:v>
      </x:c>
      <x:c r="E31" s="2" t="str">
        <x:v>Tecnológico</x:v>
      </x:c>
      <x:c r="F31" s="2" t="str">
        <x:v>Sí</x:v>
      </x:c>
      <x:c r="G31" s="2" t="str">
        <x:v>RF-030</x:v>
      </x:c>
      <x:c r="H31" s="2" t="str">
        <x:v>Alta</x:v>
      </x:c>
      <x:c r="I31" s="2" t="str">
        <x:v>Proceso crítico del alcance funcional de la tesis.</x:v>
      </x:c>
    </x:row>
    <x:row r="32">
      <x:c r="A32" s="2" t="str">
        <x:v>P-031</x:v>
      </x:c>
      <x:c r="B32" s="2" t="str">
        <x:v>MP-10</x:v>
      </x:c>
      <x:c r="C32" s="2" t="str">
        <x:v>Analítica, reportes e inteligencia artificial</x:v>
      </x:c>
      <x:c r="D32" s="2" t="str">
        <x:v>Generar reporte de stock crítico</x:v>
      </x:c>
      <x:c r="E32" s="2" t="str">
        <x:v>Tecnológico</x:v>
      </x:c>
      <x:c r="F32" s="2" t="str">
        <x:v>Sí</x:v>
      </x:c>
      <x:c r="G32" s="2" t="str">
        <x:v>RF-031</x:v>
      </x:c>
      <x:c r="H32" s="2" t="str">
        <x:v>Alta</x:v>
      </x:c>
      <x:c r="I32" s="2" t="str">
        <x:v>Proceso crítico del alcance funcional de la tesis.</x:v>
      </x:c>
    </x:row>
    <x:row r="33">
      <x:c r="A33" s="2" t="str">
        <x:v>P-032</x:v>
      </x:c>
      <x:c r="B33" s="2" t="str">
        <x:v>MP-10</x:v>
      </x:c>
      <x:c r="C33" s="2" t="str">
        <x:v>Analítica, reportes e inteligencia artificial</x:v>
      </x:c>
      <x:c r="D33" s="2" t="str">
        <x:v>Preparar datos históricos para el modelo de IA</x:v>
      </x:c>
      <x:c r="E33" s="2" t="str">
        <x:v>Analítico</x:v>
      </x:c>
      <x:c r="F33" s="2" t="str">
        <x:v>Sí</x:v>
      </x:c>
      <x:c r="G33" s="2" t="str">
        <x:v>RF-032</x:v>
      </x:c>
      <x:c r="H33" s="2" t="str">
        <x:v>Alta</x:v>
      </x:c>
      <x:c r="I33" s="2" t="str">
        <x:v>Proceso crítico del alcance funcional de la tesis.</x:v>
      </x:c>
    </x:row>
    <x:row r="34">
      <x:c r="A34" s="2" t="str">
        <x:v>P-033</x:v>
      </x:c>
      <x:c r="B34" s="2" t="str">
        <x:v>MP-10</x:v>
      </x:c>
      <x:c r="C34" s="2" t="str">
        <x:v>Analítica, reportes e inteligencia artificial</x:v>
      </x:c>
      <x:c r="D34" s="2" t="str">
        <x:v>Calcular indicadores de ventas, inventario, demanda y margen</x:v>
      </x:c>
      <x:c r="E34" s="2" t="str">
        <x:v>Analítico</x:v>
      </x:c>
      <x:c r="F34" s="2" t="str">
        <x:v>Sí</x:v>
      </x:c>
      <x:c r="G34" s="2" t="str">
        <x:v>RF-033</x:v>
      </x:c>
      <x:c r="H34" s="2" t="str">
        <x:v>Alta</x:v>
      </x:c>
      <x:c r="I34" s="2" t="str">
        <x:v>Proceso crítico del alcance funcional de la tesis.</x:v>
      </x:c>
    </x:row>
    <x:row r="35">
      <x:c r="A35" s="2" t="str">
        <x:v>P-034</x:v>
      </x:c>
      <x:c r="B35" s="2" t="str">
        <x:v>MP-10</x:v>
      </x:c>
      <x:c r="C35" s="2" t="str">
        <x:v>Analítica, reportes e inteligencia artificial</x:v>
      </x:c>
      <x:c r="D35" s="2" t="str">
        <x:v>Ejecutar predicción de demanda o riesgo empresarial</x:v>
      </x:c>
      <x:c r="E35" s="2" t="str">
        <x:v>Analítico</x:v>
      </x:c>
      <x:c r="F35" s="2" t="str">
        <x:v>Sí</x:v>
      </x:c>
      <x:c r="G35" s="2" t="str">
        <x:v>RF-034</x:v>
      </x:c>
      <x:c r="H35" s="2" t="str">
        <x:v>Alta</x:v>
      </x:c>
      <x:c r="I35" s="2" t="str">
        <x:v>Proceso crítico del alcance funcional de la tesis.</x:v>
      </x:c>
    </x:row>
    <x:row r="36">
      <x:c r="A36" s="2" t="str">
        <x:v>P-035</x:v>
      </x:c>
      <x:c r="B36" s="2" t="str">
        <x:v>MP-10</x:v>
      </x:c>
      <x:c r="C36" s="2" t="str">
        <x:v>Analítica, reportes e inteligencia artificial</x:v>
      </x:c>
      <x:c r="D36" s="2" t="str">
        <x:v>Mostrar nivel de riesgo empresarial en dashboard</x:v>
      </x:c>
      <x:c r="E36" s="2" t="str">
        <x:v>Analítico</x:v>
      </x:c>
      <x:c r="F36" s="2" t="str">
        <x:v>Sí</x:v>
      </x:c>
      <x:c r="G36" s="2" t="str">
        <x:v>RF-035</x:v>
      </x:c>
      <x:c r="H36" s="2" t="str">
        <x:v>Alta</x:v>
      </x:c>
      <x:c r="I36" s="2" t="str">
        <x:v>Proceso crítico del alcance funcional de la tesis.</x:v>
      </x:c>
    </x:row>
    <x:row r="37">
      <x:c r="A37" s="2" t="str">
        <x:v>P-036</x:v>
      </x:c>
      <x:c r="B37" s="2" t="str">
        <x:v>MP-10</x:v>
      </x:c>
      <x:c r="C37" s="2" t="str">
        <x:v>Analítica, reportes e inteligencia artificial</x:v>
      </x:c>
      <x:c r="D37" s="2" t="str">
        <x:v>Generar alertas gerenciales por riesgo o stock crítico</x:v>
      </x:c>
      <x:c r="E37" s="2" t="str">
        <x:v>Analítico</x:v>
      </x:c>
      <x:c r="F37" s="2" t="str">
        <x:v>Sí</x:v>
      </x:c>
      <x:c r="G37" s="2" t="str">
        <x:v>RF-036</x:v>
      </x:c>
      <x:c r="H37" s="2" t="str">
        <x:v>Alta</x:v>
      </x:c>
      <x:c r="I37" s="2" t="str">
        <x:v>Proceso crítico del alcance funcional de la tesis.</x:v>
      </x:c>
    </x:row>
    <x:row r="38">
      <x:c r="A38" s="2" t="str">
        <x:v>P-037</x:v>
      </x:c>
      <x:c r="B38" s="2" t="str">
        <x:v>MP-11</x:v>
      </x:c>
      <x:c r="C38" s="2" t="str">
        <x:v>Gestión tecnológica, auditoría y mantenimiento</x:v>
      </x:c>
      <x:c r="D38" s="2" t="str">
        <x:v>Registrar auditoría de acciones críticas</x:v>
      </x:c>
      <x:c r="E38" s="2" t="str">
        <x:v>Tecnológico</x:v>
      </x:c>
      <x:c r="F38" s="2" t="str">
        <x:v>Sí</x:v>
      </x:c>
      <x:c r="G38" s="2" t="str">
        <x:v>RF-037</x:v>
      </x:c>
      <x:c r="H38" s="2" t="str">
        <x:v>Alta</x:v>
      </x:c>
      <x:c r="I38" s="2" t="str">
        <x:v>Proceso crítico del alcance funcional de la tesis.</x:v>
      </x:c>
    </x:row>
    <x:row r="39">
      <x:c r="A39" s="2" t="str">
        <x:v>P-038</x:v>
      </x:c>
      <x:c r="B39" s="2" t="str">
        <x:v>MP-11</x:v>
      </x:c>
      <x:c r="C39" s="2" t="str">
        <x:v>Gestión tecnológica, auditoría y mantenimiento</x:v>
      </x:c>
      <x:c r="D39" s="2" t="str">
        <x:v>Exportar reportes o datos operativos</x:v>
      </x:c>
      <x:c r="E39" s="2" t="str">
        <x:v>Tecnológico</x:v>
      </x:c>
      <x:c r="F39" s="2" t="str">
        <x:v>Parcial</x:v>
      </x:c>
      <x:c r="G39" s="2" t="str">
        <x:v>RF-038</x:v>
      </x:c>
      <x:c r="H39" s="2" t="str">
        <x:v>Media</x:v>
      </x:c>
      <x:c r="I39" s="2" t="str">
        <x:v>Proceso complementario cubierto parcialmente por la primera versión.</x:v>
      </x:c>
    </x:row>
    <x:row r="40">
      <x:c r="A40" s="2" t="str">
        <x:v>P-039</x:v>
      </x:c>
      <x:c r="B40" s="2" t="str">
        <x:v>MP-11</x:v>
      </x:c>
      <x:c r="C40" s="2" t="str">
        <x:v>Gestión tecnológica, auditoría y mantenimiento</x:v>
      </x:c>
      <x:c r="D40" s="2" t="str">
        <x:v>Realizar respaldo lógico de información</x:v>
      </x:c>
      <x:c r="E40" s="2" t="str">
        <x:v>Tecnológico</x:v>
      </x:c>
      <x:c r="F40" s="2" t="str">
        <x:v>Parcial</x:v>
      </x:c>
      <x:c r="G40" s="2" t="str">
        <x:v>RF-039</x:v>
      </x:c>
      <x:c r="H40" s="2" t="str">
        <x:v>Media</x:v>
      </x:c>
      <x:c r="I40" s="2" t="str">
        <x:v>Proceso complementario cubierto parcialmente por la primera versión.</x:v>
      </x:c>
    </x:row>
    <x:row r="41">
      <x:c r="A41" s="2" t="str">
        <x:v>P-040</x:v>
      </x:c>
      <x:c r="B41" s="2" t="str">
        <x:v>MP-11</x:v>
      </x:c>
      <x:c r="C41" s="2" t="str">
        <x:v>Gestión tecnológica, auditoría y mantenimiento</x:v>
      </x:c>
      <x:c r="D41" s="2" t="str">
        <x:v>Gestionar mantenimiento de datos maestros</x:v>
      </x:c>
      <x:c r="E41" s="2" t="str">
        <x:v>Tecnológico</x:v>
      </x:c>
      <x:c r="F41" s="2" t="str">
        <x:v>Parcial</x:v>
      </x:c>
      <x:c r="G41" s="2" t="str">
        <x:v>RF-040</x:v>
      </x:c>
      <x:c r="H41" s="2" t="str">
        <x:v>Media</x:v>
      </x:c>
      <x:c r="I41" s="2" t="str">
        <x:v>Proceso complementario cubierto parcialmente por la primera versión.</x:v>
      </x:c>
    </x:row>
    <x:row r="42">
      <x:c r="A42" s="2" t="str">
        <x:v>P-041</x:v>
      </x:c>
      <x:c r="B42" s="2" t="str">
        <x:v>MP-11</x:v>
      </x:c>
      <x:c r="C42" s="2" t="str">
        <x:v>Gestión tecnológica, auditoría y mantenimiento</x:v>
      </x:c>
      <x:c r="D42" s="2" t="str">
        <x:v>Monitorear calidad de datos para IA</x:v>
      </x:c>
      <x:c r="E42" s="2" t="str">
        <x:v>Tecnológico</x:v>
      </x:c>
      <x:c r="F42" s="2" t="str">
        <x:v>Sí</x:v>
      </x:c>
      <x:c r="G42" s="2" t="str">
        <x:v>RF-041</x:v>
      </x:c>
      <x:c r="H42" s="2" t="str">
        <x:v>Alta</x:v>
      </x:c>
      <x:c r="I42" s="2" t="str">
        <x:v>Proceso crítico del alcance funcional de la tesis.</x:v>
      </x:c>
    </x:row>
    <x:row r="43">
      <x:c r="A43" s="2" t="str">
        <x:v>P-042</x:v>
      </x:c>
      <x:c r="B43" s="2" t="str">
        <x:v>MP-11</x:v>
      </x:c>
      <x:c r="C43" s="2" t="str">
        <x:v>Gestión tecnológica, auditoría y mantenimiento</x:v>
      </x:c>
      <x:c r="D43" s="2" t="str">
        <x:v>Gestionar parámetros del sistema</x:v>
      </x:c>
      <x:c r="E43" s="2" t="str">
        <x:v>Tecnológico</x:v>
      </x:c>
      <x:c r="F43" s="2" t="str">
        <x:v>Parcial</x:v>
      </x:c>
      <x:c r="G43" s="2" t="str">
        <x:v>RF-042</x:v>
      </x:c>
      <x:c r="H43" s="2" t="str">
        <x:v>Media</x:v>
      </x:c>
      <x:c r="I43" s="2" t="str">
        <x:v>Proceso complementario cubierto parcialmente por la primera versión.</x:v>
      </x:c>
    </x:row>
  </x:sheetData>
  <x:dataValidations count="1">
    <x:dataValidation type="list" sqref="F2:F43">
      <x:formula1>"Sí,Parcial,No / mejora futura"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6c241d827b48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5" hidden="0" customWidth="1"/>
    <x:col min="4" max="4" width="18" hidden="0" customWidth="1"/>
    <x:col min="5" max="5" width="32" hidden="0" customWidth="1"/>
    <x:col min="6" max="6" width="42" hidden="0" customWidth="1"/>
    <x:col min="7" max="7" width="38" hidden="0" customWidth="1"/>
    <x:col min="8" max="8" width="38" hidden="0" customWidth="1"/>
    <x:col min="9" max="9" width="30" hidden="0" customWidth="1"/>
  </x:cols>
  <x:sheetData>
    <x:row r="1">
      <x:c r="A1" s="52" t="str">
        <x:v>Caso de uso</x:v>
      </x:c>
      <x:c r="B1" s="52" t="str">
        <x:v>Nombre</x:v>
      </x:c>
      <x:c r="C1" s="52" t="str">
        <x:v>Actor principal</x:v>
      </x:c>
      <x:c r="D1" s="52" t="str">
        <x:v>Requisitos cubiertos</x:v>
      </x:c>
      <x:c r="E1" s="52" t="str">
        <x:v>Precondición</x:v>
      </x:c>
      <x:c r="F1" s="52" t="str">
        <x:v>Flujo principal resumido</x:v>
      </x:c>
      <x:c r="G1" s="52" t="str">
        <x:v>Flujo alternativo</x:v>
      </x:c>
      <x:c r="H1" s="52" t="str">
        <x:v>Postcondición</x:v>
      </x:c>
      <x:c r="I1" s="52" t="str">
        <x:v>Evidencia esperada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CU-001</x:v>
      </x:c>
      <x:c r="B2" s="2" t="str">
        <x:v>Registrar el diagnóstico inicial de necesidades digitales y alcance funcional del proyecto</x:v>
      </x:c>
      <x:c r="C2" s="2" t="str">
        <x:v>Administrador</x:v>
      </x:c>
      <x:c r="D2" s="2" t="str">
        <x:v>RF-001</x:v>
      </x:c>
      <x:c r="E2" s="2" t="str">
        <x:v>Usuario autenticado y autorizado</x:v>
      </x:c>
      <x:c r="F2" s="2" t="str">
        <x:v>1) Acceder al módulo. 2) Ingresar o consultar datos. 3) Ejecutar la acción. 4) Verificar resultado.</x:v>
      </x:c>
      <x:c r="G2" s="2" t="str">
        <x:v>Si los datos son inválidos, el sistema muestra mensaje de validación y no guarda cambios.</x:v>
      </x:c>
      <x:c r="H2" s="2" t="str">
        <x:v>Documento aprobado y coherente con procesos priorizados</x:v>
      </x:c>
      <x:c r="I2" s="2" t="str">
        <x:v>EV-001 Acta o revisión del apartado de análisis</x:v>
      </x:c>
    </x:row>
    <x:row r="3">
      <x:c r="A3" s="2" t="str">
        <x:v>CU-002</x:v>
      </x:c>
      <x:c r="B3" s="2" t="str">
        <x:v>Iniciar sesión mediante correo y contraseña válidos</x:v>
      </x:c>
      <x:c r="C3" s="2" t="str">
        <x:v>Todos los usuarios</x:v>
      </x:c>
      <x:c r="D3" s="2" t="str">
        <x:v>RF-002</x:v>
      </x:c>
      <x:c r="E3" s="2" t="str">
        <x:v>Usuario registrado, visitante autorizado o credenciales disponibles</x:v>
      </x:c>
      <x:c r="F3" s="2" t="str">
        <x:v>1) Acceder al módulo. 2) Ingresar o consultar datos. 3) Ejecutar la acción. 4) Verificar resultado.</x:v>
      </x:c>
      <x:c r="G3" s="2" t="str">
        <x:v>Si los datos son inválidos, el sistema muestra mensaje de validación y no guarda cambios.</x:v>
      </x:c>
      <x:c r="H3" s="2" t="str">
        <x:v>Usuario válido ingresa al dashboard; usuario inválido recibe mensaje de error</x:v>
      </x:c>
      <x:c r="I3" s="2" t="str">
        <x:v>EV-002 Capturas login válido e inválido</x:v>
      </x:c>
    </x:row>
    <x:row r="4">
      <x:c r="A4" s="2" t="str">
        <x:v>CU-003</x:v>
      </x:c>
      <x:c r="B4" s="2" t="str">
        <x:v>Registrar usuarios internos con rol asignado</x:v>
      </x:c>
      <x:c r="C4" s="2" t="str">
        <x:v>Administrador</x:v>
      </x:c>
      <x:c r="D4" s="2" t="str">
        <x:v>RF-003</x:v>
      </x:c>
      <x:c r="E4" s="2" t="str">
        <x:v>Usuario autenticado y autorizado</x:v>
      </x:c>
      <x:c r="F4" s="2" t="str">
        <x:v>1) Acceder al módulo. 2) Ingresar o consultar datos. 3) Ejecutar la acción. 4) Verificar resultado.</x:v>
      </x:c>
      <x:c r="G4" s="2" t="str">
        <x:v>Si los datos son inválidos, el sistema muestra mensaje de validación y no guarda cambios.</x:v>
      </x:c>
      <x:c r="H4" s="2" t="str">
        <x:v>Usuario interno queda registrado sin duplicidad de correo o DNI</x:v>
      </x:c>
      <x:c r="I4" s="2" t="str">
        <x:v>EV-003 Captura de usuario registrado y fila BD</x:v>
      </x:c>
    </x:row>
    <x:row r="5">
      <x:c r="A5" s="2" t="str">
        <x:v>CU-004</x:v>
      </x:c>
      <x:c r="B5" s="2" t="str">
        <x:v>Editar, consultar, activar o desactivar usuarios internos</x:v>
      </x:c>
      <x:c r="C5" s="2" t="str">
        <x:v>Administrador</x:v>
      </x:c>
      <x:c r="D5" s="2" t="str">
        <x:v>RF-004</x:v>
      </x:c>
      <x:c r="E5" s="2" t="str">
        <x:v>Usuario autenticado y autorizado</x:v>
      </x:c>
      <x:c r="F5" s="2" t="str">
        <x:v>1) Acceder al módulo. 2) Ingresar o consultar datos. 3) Ejecutar la acción. 4) Verificar resultado.</x:v>
      </x:c>
      <x:c r="G5" s="2" t="str">
        <x:v>Si los datos son inválidos, el sistema muestra mensaje de validación y no guarda cambios.</x:v>
      </x:c>
      <x:c r="H5" s="2" t="str">
        <x:v>El usuario cambia de estado sin eliminar historial</x:v>
      </x:c>
      <x:c r="I5" s="2" t="str">
        <x:v>EV-004 Captura de edición/desactivación</x:v>
      </x:c>
    </x:row>
    <x:row r="6">
      <x:c r="A6" s="2" t="str">
        <x:v>CU-005</x:v>
      </x:c>
      <x:c r="B6" s="2" t="str">
        <x:v>Recuperar o restablecer el acceso de usuario según mecanismo configurado</x:v>
      </x:c>
      <x:c r="C6" s="2" t="str">
        <x:v>Usuario registrado</x:v>
      </x:c>
      <x:c r="D6" s="2" t="str">
        <x:v>RF-005</x:v>
      </x:c>
      <x:c r="E6" s="2" t="str">
        <x:v>Usuario autenticado y autorizado</x:v>
      </x:c>
      <x:c r="F6" s="2" t="str">
        <x:v>1) Acceder al módulo. 2) Ingresar o consultar datos. 3) Ejecutar la acción. 4) Verificar resultado.</x:v>
      </x:c>
      <x:c r="G6" s="2" t="str">
        <x:v>Si los datos son inválidos, el sistema muestra mensaje de validación y no guarda cambios.</x:v>
      </x:c>
      <x:c r="H6" s="2" t="str">
        <x:v>Se emite instrucción de recuperación o mensaje controlado</x:v>
      </x:c>
      <x:c r="I6" s="2" t="str">
        <x:v>EV-005 Captura flujo recuperación</x:v>
      </x:c>
    </x:row>
    <x:row r="7">
      <x:c r="A7" s="2" t="str">
        <x:v>CU-006</x:v>
      </x:c>
      <x:c r="B7" s="2" t="str">
        <x:v>Registrar productos de calzado con datos completos</x:v>
      </x:c>
      <x:c r="C7" s="2" t="str">
        <x:v>Administrador</x:v>
      </x:c>
      <x:c r="D7" s="2" t="str">
        <x:v>RF-006</x:v>
      </x:c>
      <x:c r="E7" s="2" t="str">
        <x:v>Usuario autenticado y autorizado</x:v>
      </x:c>
      <x:c r="F7" s="2" t="str">
        <x:v>1) Acceder al módulo. 2) Ingresar o consultar datos. 3) Ejecutar la acción. 4) Verificar resultado.</x:v>
      </x:c>
      <x:c r="G7" s="2" t="str">
        <x:v>Si los datos son inválidos, el sistema muestra mensaje de validación y no guarda cambios.</x:v>
      </x:c>
      <x:c r="H7" s="2" t="str">
        <x:v>Producto guardado y visible en listado</x:v>
      </x:c>
      <x:c r="I7" s="2" t="str">
        <x:v>EV-006 Captura formulario y listado</x:v>
      </x:c>
    </x:row>
    <x:row r="8">
      <x:c r="A8" s="2" t="str">
        <x:v>CU-007</x:v>
      </x:c>
      <x:c r="B8" s="2" t="str">
        <x:v>Editar información de productos registrados</x:v>
      </x:c>
      <x:c r="C8" s="2" t="str">
        <x:v>Administrador</x:v>
      </x:c>
      <x:c r="D8" s="2" t="str">
        <x:v>RF-007</x:v>
      </x:c>
      <x:c r="E8" s="2" t="str">
        <x:v>Usuario autenticado y autorizado</x:v>
      </x:c>
      <x:c r="F8" s="2" t="str">
        <x:v>1) Acceder al módulo. 2) Ingresar o consultar datos. 3) Ejecutar la acción. 4) Verificar resultado.</x:v>
      </x:c>
      <x:c r="G8" s="2" t="str">
        <x:v>Si los datos son inválidos, el sistema muestra mensaje de validación y no guarda cambios.</x:v>
      </x:c>
      <x:c r="H8" s="2" t="str">
        <x:v>Producto actualizado sin perder relación con inventario</x:v>
      </x:c>
      <x:c r="I8" s="2" t="str">
        <x:v>EV-007 Captura antes/después</x:v>
      </x:c>
    </x:row>
    <x:row r="9">
      <x:c r="A9" s="2" t="str">
        <x:v>CU-008</x:v>
      </x:c>
      <x:c r="B9" s="2" t="str">
        <x:v>Desactivar productos no disponibles sin borrar registros históricos</x:v>
      </x:c>
      <x:c r="C9" s="2" t="str">
        <x:v>Administrador</x:v>
      </x:c>
      <x:c r="D9" s="2" t="str">
        <x:v>RF-008</x:v>
      </x:c>
      <x:c r="E9" s="2" t="str">
        <x:v>Usuario autenticado y autorizado</x:v>
      </x:c>
      <x:c r="F9" s="2" t="str">
        <x:v>1) Acceder al módulo. 2) Ingresar o consultar datos. 3) Ejecutar la acción. 4) Verificar resultado.</x:v>
      </x:c>
      <x:c r="G9" s="2" t="str">
        <x:v>Si los datos son inválidos, el sistema muestra mensaje de validación y no guarda cambios.</x:v>
      </x:c>
      <x:c r="H9" s="2" t="str">
        <x:v>Producto inactivo no aparece como vendible, pero conserva historial</x:v>
      </x:c>
      <x:c r="I9" s="2" t="str">
        <x:v>EV-008 Captura producto inactivo</x:v>
      </x:c>
    </x:row>
    <x:row r="10">
      <x:c r="A10" s="2" t="str">
        <x:v>CU-009</x:v>
      </x:c>
      <x:c r="B10" s="2" t="str">
        <x:v>Clasificar productos por categoría, marca, talla, color y género</x:v>
      </x:c>
      <x:c r="C10" s="2" t="str">
        <x:v>Administrador</x:v>
      </x:c>
      <x:c r="D10" s="2" t="str">
        <x:v>RF-009</x:v>
      </x:c>
      <x:c r="E10" s="2" t="str">
        <x:v>Usuario autenticado y autorizado</x:v>
      </x:c>
      <x:c r="F10" s="2" t="str">
        <x:v>1) Acceder al módulo. 2) Ingresar o consultar datos. 3) Ejecutar la acción. 4) Verificar resultado.</x:v>
      </x:c>
      <x:c r="G10" s="2" t="str">
        <x:v>Si los datos son inválidos, el sistema muestra mensaje de validación y no guarda cambios.</x:v>
      </x:c>
      <x:c r="H10" s="2" t="str">
        <x:v>El listado muestra productos filtrados correctamente</x:v>
      </x:c>
      <x:c r="I10" s="2" t="str">
        <x:v>EV-009 Capturas filtros aplicados</x:v>
      </x:c>
    </x:row>
    <x:row r="11">
      <x:c r="A11" s="2" t="str">
        <x:v>CU-010</x:v>
      </x:c>
      <x:c r="B11" s="2" t="str">
        <x:v>Registrar entrada de mercadería al inventario</x:v>
      </x:c>
      <x:c r="C11" s="2" t="str">
        <x:v>Administrador / almacenero</x:v>
      </x:c>
      <x:c r="D11" s="2" t="str">
        <x:v>RF-010</x:v>
      </x:c>
      <x:c r="E11" s="2" t="str">
        <x:v>Usuario autenticado y autorizado</x:v>
      </x:c>
      <x:c r="F11" s="2" t="str">
        <x:v>1) Acceder al módulo. 2) Ingresar o consultar datos. 3) Ejecutar la acción. 4) Verificar resultado.</x:v>
      </x:c>
      <x:c r="G11" s="2" t="str">
        <x:v>Si los datos son inválidos, el sistema muestra mensaje de validación y no guarda cambios.</x:v>
      </x:c>
      <x:c r="H11" s="2" t="str">
        <x:v>Stock aumenta y se registra movimiento de entrada</x:v>
      </x:c>
      <x:c r="I11" s="2" t="str">
        <x:v>EV-010 Captura entrada y stock actualizado</x:v>
      </x:c>
    </x:row>
    <x:row r="12">
      <x:c r="A12" s="2" t="str">
        <x:v>CU-011</x:v>
      </x:c>
      <x:c r="B12" s="2" t="str">
        <x:v>Consultar y controlar el stock disponible por producto</x:v>
      </x:c>
      <x:c r="C12" s="2" t="str">
        <x:v>Administrador / vendedor</x:v>
      </x:c>
      <x:c r="D12" s="2" t="str">
        <x:v>RF-011</x:v>
      </x:c>
      <x:c r="E12" s="2" t="str">
        <x:v>Usuario autenticado y autorizado</x:v>
      </x:c>
      <x:c r="F12" s="2" t="str">
        <x:v>1) Acceder al módulo. 2) Ingresar o consultar datos. 3) Ejecutar la acción. 4) Verificar resultado.</x:v>
      </x:c>
      <x:c r="G12" s="2" t="str">
        <x:v>Si los datos son inválidos, el sistema muestra mensaje de validación y no guarda cambios.</x:v>
      </x:c>
      <x:c r="H12" s="2" t="str">
        <x:v>El sistema muestra stock actual por producto y variante</x:v>
      </x:c>
      <x:c r="I12" s="2" t="str">
        <x:v>EV-011 Captura inventario</x:v>
      </x:c>
    </x:row>
    <x:row r="13">
      <x:c r="A13" s="2" t="str">
        <x:v>CU-012</x:v>
      </x:c>
      <x:c r="B13" s="2" t="str">
        <x:v>Generar alerta cuando un producto alcance o baje del stock mínimo</x:v>
      </x:c>
      <x:c r="C13" s="2" t="str">
        <x:v>Administrador / gerente</x:v>
      </x:c>
      <x:c r="D13" s="2" t="str">
        <x:v>RF-012</x:v>
      </x:c>
      <x:c r="E13" s="2" t="str">
        <x:v>Usuario autenticado y autorizado</x:v>
      </x:c>
      <x:c r="F13" s="2" t="str">
        <x:v>1) Acceder al módulo. 2) Ingresar o consultar datos. 3) Ejecutar la acción. 4) Verificar resultado.</x:v>
      </x:c>
      <x:c r="G13" s="2" t="str">
        <x:v>Si los datos son inválidos, el sistema muestra mensaje de validación y no guarda cambios.</x:v>
      </x:c>
      <x:c r="H13" s="2" t="str">
        <x:v>Se muestra alerta de stock crítico</x:v>
      </x:c>
      <x:c r="I13" s="2" t="str">
        <x:v>EV-012 Captura alerta stock mínimo</x:v>
      </x:c>
    </x:row>
    <x:row r="14">
      <x:c r="A14" s="2" t="str">
        <x:v>CU-013</x:v>
      </x:c>
      <x:c r="B14" s="2" t="str">
        <x:v>Registrar ajustes de inventario por devolución, merma o corrección autorizada</x:v>
      </x:c>
      <x:c r="C14" s="2" t="str">
        <x:v>Administrador / almacenero</x:v>
      </x:c>
      <x:c r="D14" s="2" t="str">
        <x:v>RF-013</x:v>
      </x:c>
      <x:c r="E14" s="2" t="str">
        <x:v>Usuario autenticado y autorizado</x:v>
      </x:c>
      <x:c r="F14" s="2" t="str">
        <x:v>1) Acceder al módulo. 2) Ingresar o consultar datos. 3) Ejecutar la acción. 4) Verificar resultado.</x:v>
      </x:c>
      <x:c r="G14" s="2" t="str">
        <x:v>Si los datos son inválidos, el sistema muestra mensaje de validación y no guarda cambios.</x:v>
      </x:c>
      <x:c r="H14" s="2" t="str">
        <x:v>Stock se ajusta y queda registro auditable</x:v>
      </x:c>
      <x:c r="I14" s="2" t="str">
        <x:v>EV-013 Captura ajuste con motivo</x:v>
      </x:c>
    </x:row>
    <x:row r="15">
      <x:c r="A15" s="2" t="str">
        <x:v>CU-014</x:v>
      </x:c>
      <x:c r="B15" s="2" t="str">
        <x:v>Consultar el catálogo de productos desde el portal web</x:v>
      </x:c>
      <x:c r="C15" s="2" t="str">
        <x:v>Cliente / visitante</x:v>
      </x:c>
      <x:c r="D15" s="2" t="str">
        <x:v>RF-014</x:v>
      </x:c>
      <x:c r="E15" s="2" t="str">
        <x:v>Usuario registrado, visitante autorizado o credenciales disponibles</x:v>
      </x:c>
      <x:c r="F15" s="2" t="str">
        <x:v>1) Acceder al módulo. 2) Ingresar o consultar datos. 3) Ejecutar la acción. 4) Verificar resultado.</x:v>
      </x:c>
      <x:c r="G15" s="2" t="str">
        <x:v>Si los datos son inválidos, el sistema muestra mensaje de validación y no guarda cambios.</x:v>
      </x:c>
      <x:c r="H15" s="2" t="str">
        <x:v>El cliente visualiza productos activos con información comercial</x:v>
      </x:c>
      <x:c r="I15" s="2" t="str">
        <x:v>EV-014 Captura catálogo público</x:v>
      </x:c>
    </x:row>
    <x:row r="16">
      <x:c r="A16" s="2" t="str">
        <x:v>CU-015</x:v>
      </x:c>
      <x:c r="B16" s="2" t="str">
        <x:v>Registrar clientes con datos de contacto válidos</x:v>
      </x:c>
      <x:c r="C16" s="2" t="str">
        <x:v>Administrador / trabajador / cliente</x:v>
      </x:c>
      <x:c r="D16" s="2" t="str">
        <x:v>RF-015</x:v>
      </x:c>
      <x:c r="E16" s="2" t="str">
        <x:v>Usuario registrado, visitante autorizado o credenciales disponibles</x:v>
      </x:c>
      <x:c r="F16" s="2" t="str">
        <x:v>1) Acceder al módulo. 2) Ingresar o consultar datos. 3) Ejecutar la acción. 4) Verificar resultado.</x:v>
      </x:c>
      <x:c r="G16" s="2" t="str">
        <x:v>Si los datos son inválidos, el sistema muestra mensaje de validación y no guarda cambios.</x:v>
      </x:c>
      <x:c r="H16" s="2" t="str">
        <x:v>Cliente registrado sin duplicidad y con datos válidos</x:v>
      </x:c>
      <x:c r="I16" s="2" t="str">
        <x:v>EV-015 Captura cliente registrado</x:v>
      </x:c>
    </x:row>
    <x:row r="17">
      <x:c r="A17" s="2" t="str">
        <x:v>CU-016</x:v>
      </x:c>
      <x:c r="B17" s="2" t="str">
        <x:v>Agregar productos al carrito de compras</x:v>
      </x:c>
      <x:c r="C17" s="2" t="str">
        <x:v>Cliente</x:v>
      </x:c>
      <x:c r="D17" s="2" t="str">
        <x:v>RF-016</x:v>
      </x:c>
      <x:c r="E17" s="2" t="str">
        <x:v>Usuario autenticado y autorizado</x:v>
      </x:c>
      <x:c r="F17" s="2" t="str">
        <x:v>1) Acceder al módulo. 2) Ingresar o consultar datos. 3) Ejecutar la acción. 4) Verificar resultado.</x:v>
      </x:c>
      <x:c r="G17" s="2" t="str">
        <x:v>Si los datos son inválidos, el sistema muestra mensaje de validación y no guarda cambios.</x:v>
      </x:c>
      <x:c r="H17" s="2" t="str">
        <x:v>Producto agregado al carrito con subtotal correcto</x:v>
      </x:c>
      <x:c r="I17" s="2" t="str">
        <x:v>EV-016 Captura carrito</x:v>
      </x:c>
    </x:row>
    <x:row r="18">
      <x:c r="A18" s="2" t="str">
        <x:v>CU-017</x:v>
      </x:c>
      <x:c r="B18" s="2" t="str">
        <x:v>Registrar pedidos en línea</x:v>
      </x:c>
      <x:c r="C18" s="2" t="str">
        <x:v>Cliente</x:v>
      </x:c>
      <x:c r="D18" s="2" t="str">
        <x:v>RF-017</x:v>
      </x:c>
      <x:c r="E18" s="2" t="str">
        <x:v>Usuario autenticado y autorizado</x:v>
      </x:c>
      <x:c r="F18" s="2" t="str">
        <x:v>1) Acceder al módulo. 2) Ingresar o consultar datos. 3) Ejecutar la acción. 4) Verificar resultado.</x:v>
      </x:c>
      <x:c r="G18" s="2" t="str">
        <x:v>Si los datos son inválidos, el sistema muestra mensaje de validación y no guarda cambios.</x:v>
      </x:c>
      <x:c r="H18" s="2" t="str">
        <x:v>Pedido registrado con número, detalle y estado inicial</x:v>
      </x:c>
      <x:c r="I18" s="2" t="str">
        <x:v>EV-017 Captura pedido registrado</x:v>
      </x:c>
    </x:row>
    <x:row r="19">
      <x:c r="A19" s="2" t="str">
        <x:v>CU-018</x:v>
      </x:c>
      <x:c r="B19" s="2" t="str">
        <x:v>Validar disponibilidad de stock antes de confirmar un pedido</x:v>
      </x:c>
      <x:c r="C19" s="2" t="str">
        <x:v>Sistema</x:v>
      </x:c>
      <x:c r="D19" s="2" t="str">
        <x:v>RF-018</x:v>
      </x:c>
      <x:c r="E19" s="2" t="str">
        <x:v>Usuario autenticado y autorizado</x:v>
      </x:c>
      <x:c r="F19" s="2" t="str">
        <x:v>1) Acceder al módulo. 2) Ingresar o consultar datos. 3) Ejecutar la acción. 4) Verificar resultado.</x:v>
      </x:c>
      <x:c r="G19" s="2" t="str">
        <x:v>Si los datos son inválidos, el sistema muestra mensaje de validación y no guarda cambios.</x:v>
      </x:c>
      <x:c r="H19" s="2" t="str">
        <x:v>Confirma si hay stock; bloquea si no hay disponibilidad</x:v>
      </x:c>
      <x:c r="I19" s="2" t="str">
        <x:v>EV-018 Captura error por stock insuficiente</x:v>
      </x:c>
    </x:row>
    <x:row r="20">
      <x:c r="A20" s="2" t="str">
        <x:v>CU-019</x:v>
      </x:c>
      <x:c r="B20" s="2" t="str">
        <x:v>Actualizar el estado del pedido</x:v>
      </x:c>
      <x:c r="C20" s="2" t="str">
        <x:v>Administrador / trabajador</x:v>
      </x:c>
      <x:c r="D20" s="2" t="str">
        <x:v>RF-019</x:v>
      </x:c>
      <x:c r="E20" s="2" t="str">
        <x:v>Usuario autenticado y autorizado</x:v>
      </x:c>
      <x:c r="F20" s="2" t="str">
        <x:v>1) Acceder al módulo. 2) Ingresar o consultar datos. 3) Ejecutar la acción. 4) Verificar resultado.</x:v>
      </x:c>
      <x:c r="G20" s="2" t="str">
        <x:v>Si los datos son inválidos, el sistema muestra mensaje de validación y no guarda cambios.</x:v>
      </x:c>
      <x:c r="H20" s="2" t="str">
        <x:v>El pedido cambia a confirmado, enviado, entregado o cancelado</x:v>
      </x:c>
      <x:c r="I20" s="2" t="str">
        <x:v>EV-019 Captura cambio de estado</x:v>
      </x:c>
    </x:row>
    <x:row r="21">
      <x:c r="A21" s="2" t="str">
        <x:v>CU-020</x:v>
      </x:c>
      <x:c r="B21" s="2" t="str">
        <x:v>Registrar pagos asociados a ventas o pedidos</x:v>
      </x:c>
      <x:c r="C21" s="2" t="str">
        <x:v>Administrador / trabajador / cliente</x:v>
      </x:c>
      <x:c r="D21" s="2" t="str">
        <x:v>RF-020</x:v>
      </x:c>
      <x:c r="E21" s="2" t="str">
        <x:v>Usuario autenticado y autorizado</x:v>
      </x:c>
      <x:c r="F21" s="2" t="str">
        <x:v>1) Acceder al módulo. 2) Ingresar o consultar datos. 3) Ejecutar la acción. 4) Verificar resultado.</x:v>
      </x:c>
      <x:c r="G21" s="2" t="str">
        <x:v>Si los datos son inválidos, el sistema muestra mensaje de validación y no guarda cambios.</x:v>
      </x:c>
      <x:c r="H21" s="2" t="str">
        <x:v>Pago registrado y asociado a venta o pedido</x:v>
      </x:c>
      <x:c r="I21" s="2" t="str">
        <x:v>EV-020 Captura pago registrado</x:v>
      </x:c>
    </x:row>
    <x:row r="22">
      <x:c r="A22" s="2" t="str">
        <x:v>CU-021</x:v>
      </x:c>
      <x:c r="B22" s="2" t="str">
        <x:v>Emitir comprobante interno de venta o pedido</x:v>
      </x:c>
      <x:c r="C22" s="2" t="str">
        <x:v>Administrador / vendedor</x:v>
      </x:c>
      <x:c r="D22" s="2" t="str">
        <x:v>RF-021</x:v>
      </x:c>
      <x:c r="E22" s="2" t="str">
        <x:v>Usuario autenticado y autorizado</x:v>
      </x:c>
      <x:c r="F22" s="2" t="str">
        <x:v>1) Acceder al módulo. 2) Ingresar o consultar datos. 3) Ejecutar la acción. 4) Verificar resultado.</x:v>
      </x:c>
      <x:c r="G22" s="2" t="str">
        <x:v>Si los datos son inválidos, el sistema muestra mensaje de validación y no guarda cambios.</x:v>
      </x:c>
      <x:c r="H22" s="2" t="str">
        <x:v>Comprobante generado con serie, número, fecha y total</x:v>
      </x:c>
      <x:c r="I22" s="2" t="str">
        <x:v>EV-021 Captura comprobante</x:v>
      </x:c>
    </x:row>
    <x:row r="23">
      <x:c r="A23" s="2" t="str">
        <x:v>CU-022</x:v>
      </x:c>
      <x:c r="B23" s="2" t="str">
        <x:v>Registrar ventas presenciales</x:v>
      </x:c>
      <x:c r="C23" s="2" t="str">
        <x:v>Vendedor / administrador</x:v>
      </x:c>
      <x:c r="D23" s="2" t="str">
        <x:v>RF-022</x:v>
      </x:c>
      <x:c r="E23" s="2" t="str">
        <x:v>Usuario autenticado y autorizado</x:v>
      </x:c>
      <x:c r="F23" s="2" t="str">
        <x:v>1) Acceder al módulo. 2) Ingresar o consultar datos. 3) Ejecutar la acción. 4) Verificar resultado.</x:v>
      </x:c>
      <x:c r="G23" s="2" t="str">
        <x:v>Si los datos son inválidos, el sistema muestra mensaje de validación y no guarda cambios.</x:v>
      </x:c>
      <x:c r="H23" s="2" t="str">
        <x:v>Venta registrada con detalle y total calculado</x:v>
      </x:c>
      <x:c r="I23" s="2" t="str">
        <x:v>EV-022 Captura venta y detalle</x:v>
      </x:c>
    </x:row>
    <x:row r="24">
      <x:c r="A24" s="2" t="str">
        <x:v>CU-023</x:v>
      </x:c>
      <x:c r="B24" s="2" t="str">
        <x:v>Calcular subtotal, descuentos, total y método de pago en ventas</x:v>
      </x:c>
      <x:c r="C24" s="2" t="str">
        <x:v>Sistema</x:v>
      </x:c>
      <x:c r="D24" s="2" t="str">
        <x:v>RF-023</x:v>
      </x:c>
      <x:c r="E24" s="2" t="str">
        <x:v>Usuario autenticado y autorizado</x:v>
      </x:c>
      <x:c r="F24" s="2" t="str">
        <x:v>1) Acceder al módulo. 2) Ingresar o consultar datos. 3) Ejecutar la acción. 4) Verificar resultado.</x:v>
      </x:c>
      <x:c r="G24" s="2" t="str">
        <x:v>Si los datos son inválidos, el sistema muestra mensaje de validación y no guarda cambios.</x:v>
      </x:c>
      <x:c r="H24" s="2" t="str">
        <x:v>El total coincide con la operación matemática esperada</x:v>
      </x:c>
      <x:c r="I24" s="2" t="str">
        <x:v>EV-023 Captura cálculo y validación</x:v>
      </x:c>
    </x:row>
    <x:row r="25">
      <x:c r="A25" s="2" t="str">
        <x:v>CU-024</x:v>
      </x:c>
      <x:c r="B25" s="2" t="str">
        <x:v>Descontar automáticamente stock cuando se confirma una venta</x:v>
      </x:c>
      <x:c r="C25" s="2" t="str">
        <x:v>Sistema</x:v>
      </x:c>
      <x:c r="D25" s="2" t="str">
        <x:v>RF-024</x:v>
      </x:c>
      <x:c r="E25" s="2" t="str">
        <x:v>Usuario autenticado y autorizado</x:v>
      </x:c>
      <x:c r="F25" s="2" t="str">
        <x:v>1) Acceder al módulo. 2) Ingresar o consultar datos. 3) Ejecutar la acción. 4) Verificar resultado.</x:v>
      </x:c>
      <x:c r="G25" s="2" t="str">
        <x:v>Si los datos son inválidos, el sistema muestra mensaje de validación y no guarda cambios.</x:v>
      </x:c>
      <x:c r="H25" s="2" t="str">
        <x:v>Stock disminuye y queda movimiento de salida</x:v>
      </x:c>
      <x:c r="I25" s="2" t="str">
        <x:v>EV-024 Captura stock antes/después</x:v>
      </x:c>
    </x:row>
    <x:row r="26">
      <x:c r="A26" s="2" t="str">
        <x:v>CU-025</x:v>
      </x:c>
      <x:c r="B26" s="2" t="str">
        <x:v>Registrar devolución o cambio de producto cuando corresponda</x:v>
      </x:c>
      <x:c r="C26" s="2" t="str">
        <x:v>Administrador / vendedor</x:v>
      </x:c>
      <x:c r="D26" s="2" t="str">
        <x:v>RF-025</x:v>
      </x:c>
      <x:c r="E26" s="2" t="str">
        <x:v>Usuario autenticado y autorizado</x:v>
      </x:c>
      <x:c r="F26" s="2" t="str">
        <x:v>1) Acceder al módulo. 2) Ingresar o consultar datos. 3) Ejecutar la acción. 4) Verificar resultado.</x:v>
      </x:c>
      <x:c r="G26" s="2" t="str">
        <x:v>Si los datos son inválidos, el sistema muestra mensaje de validación y no guarda cambios.</x:v>
      </x:c>
      <x:c r="H26" s="2" t="str">
        <x:v>Devolución registrada y stock ajustado según política</x:v>
      </x:c>
      <x:c r="I26" s="2" t="str">
        <x:v>EV-025 Captura devolución</x:v>
      </x:c>
    </x:row>
    <x:row r="27">
      <x:c r="A27" s="2" t="str">
        <x:v>CU-026</x:v>
      </x:c>
      <x:c r="B27" s="2" t="str">
        <x:v>Registrar proveedores</x:v>
      </x:c>
      <x:c r="C27" s="2" t="str">
        <x:v>Administrador</x:v>
      </x:c>
      <x:c r="D27" s="2" t="str">
        <x:v>RF-026</x:v>
      </x:c>
      <x:c r="E27" s="2" t="str">
        <x:v>Usuario autenticado y autorizado</x:v>
      </x:c>
      <x:c r="F27" s="2" t="str">
        <x:v>1) Acceder al módulo. 2) Ingresar o consultar datos. 3) Ejecutar la acción. 4) Verificar resultado.</x:v>
      </x:c>
      <x:c r="G27" s="2" t="str">
        <x:v>Si los datos son inválidos, el sistema muestra mensaje de validación y no guarda cambios.</x:v>
      </x:c>
      <x:c r="H27" s="2" t="str">
        <x:v>Proveedor registrado sin duplicidad</x:v>
      </x:c>
      <x:c r="I27" s="2" t="str">
        <x:v>EV-026 Captura proveedor</x:v>
      </x:c>
    </x:row>
    <x:row r="28">
      <x:c r="A28" s="2" t="str">
        <x:v>CU-027</x:v>
      </x:c>
      <x:c r="B28" s="2" t="str">
        <x:v>Registrar compras de mercadería vinculadas a proveedores</x:v>
      </x:c>
      <x:c r="C28" s="2" t="str">
        <x:v>Administrador / almacenero</x:v>
      </x:c>
      <x:c r="D28" s="2" t="str">
        <x:v>RF-027</x:v>
      </x:c>
      <x:c r="E28" s="2" t="str">
        <x:v>Usuario autenticado y autorizado</x:v>
      </x:c>
      <x:c r="F28" s="2" t="str">
        <x:v>1) Acceder al módulo. 2) Ingresar o consultar datos. 3) Ejecutar la acción. 4) Verificar resultado.</x:v>
      </x:c>
      <x:c r="G28" s="2" t="str">
        <x:v>Si los datos son inválidos, el sistema muestra mensaje de validación y no guarda cambios.</x:v>
      </x:c>
      <x:c r="H28" s="2" t="str">
        <x:v>Compra registrada y stock actualizado por entrada</x:v>
      </x:c>
      <x:c r="I28" s="2" t="str">
        <x:v>EV-027 Captura compra y entrada stock</x:v>
      </x:c>
    </x:row>
    <x:row r="29">
      <x:c r="A29" s="2" t="str">
        <x:v>CU-028</x:v>
      </x:c>
      <x:c r="B29" s="2" t="str">
        <x:v>Consultar historial de compras o pedidos del cliente</x:v>
      </x:c>
      <x:c r="C29" s="2" t="str">
        <x:v>Administrador / trabajador / cliente</x:v>
      </x:c>
      <x:c r="D29" s="2" t="str">
        <x:v>RF-028</x:v>
      </x:c>
      <x:c r="E29" s="2" t="str">
        <x:v>Usuario autenticado y autorizado</x:v>
      </x:c>
      <x:c r="F29" s="2" t="str">
        <x:v>1) Acceder al módulo. 2) Ingresar o consultar datos. 3) Ejecutar la acción. 4) Verificar resultado.</x:v>
      </x:c>
      <x:c r="G29" s="2" t="str">
        <x:v>Si los datos son inválidos, el sistema muestra mensaje de validación y no guarda cambios.</x:v>
      </x:c>
      <x:c r="H29" s="2" t="str">
        <x:v>Muestra ventas, pedidos y pagos asociados</x:v>
      </x:c>
      <x:c r="I29" s="2" t="str">
        <x:v>EV-028 Captura historial cliente</x:v>
      </x:c>
    </x:row>
    <x:row r="30">
      <x:c r="A30" s="2" t="str">
        <x:v>CU-029</x:v>
      </x:c>
      <x:c r="B30" s="2" t="str">
        <x:v>Generar reporte de ventas por periodo</x:v>
      </x:c>
      <x:c r="C30" s="2" t="str">
        <x:v>Administrador / gerente</x:v>
      </x:c>
      <x:c r="D30" s="2" t="str">
        <x:v>RF-029</x:v>
      </x:c>
      <x:c r="E30" s="2" t="str">
        <x:v>Usuario autenticado y autorizado</x:v>
      </x:c>
      <x:c r="F30" s="2" t="str">
        <x:v>1) Acceder al módulo. 2) Ingresar o consultar datos. 3) Ejecutar la acción. 4) Verificar resultado.</x:v>
      </x:c>
      <x:c r="G30" s="2" t="str">
        <x:v>Si los datos son inválidos, el sistema muestra mensaje de validación y no guarda cambios.</x:v>
      </x:c>
      <x:c r="H30" s="2" t="str">
        <x:v>Reporte muestra ventas, totales y cantidades por periodo</x:v>
      </x:c>
      <x:c r="I30" s="2" t="str">
        <x:v>EV-029 Captura reporte ventas</x:v>
      </x:c>
    </x:row>
    <x:row r="31">
      <x:c r="A31" s="2" t="str">
        <x:v>CU-030</x:v>
      </x:c>
      <x:c r="B31" s="2" t="str">
        <x:v>Generar reporte de productos más vendidos</x:v>
      </x:c>
      <x:c r="C31" s="2" t="str">
        <x:v>Administrador / gerente</x:v>
      </x:c>
      <x:c r="D31" s="2" t="str">
        <x:v>RF-030</x:v>
      </x:c>
      <x:c r="E31" s="2" t="str">
        <x:v>Usuario autenticado y autorizado</x:v>
      </x:c>
      <x:c r="F31" s="2" t="str">
        <x:v>1) Acceder al módulo. 2) Ingresar o consultar datos. 3) Ejecutar la acción. 4) Verificar resultado.</x:v>
      </x:c>
      <x:c r="G31" s="2" t="str">
        <x:v>Si los datos son inválidos, el sistema muestra mensaje de validación y no guarda cambios.</x:v>
      </x:c>
      <x:c r="H31" s="2" t="str">
        <x:v>Reporte ordena productos por cantidad vendida</x:v>
      </x:c>
      <x:c r="I31" s="2" t="str">
        <x:v>EV-030 Captura productos más vendidos</x:v>
      </x:c>
    </x:row>
    <x:row r="32">
      <x:c r="A32" s="2" t="str">
        <x:v>CU-031</x:v>
      </x:c>
      <x:c r="B32" s="2" t="str">
        <x:v>Generar reporte de stock crítico</x:v>
      </x:c>
      <x:c r="C32" s="2" t="str">
        <x:v>Administrador / gerente</x:v>
      </x:c>
      <x:c r="D32" s="2" t="str">
        <x:v>RF-031</x:v>
      </x:c>
      <x:c r="E32" s="2" t="str">
        <x:v>Usuario autenticado y autorizado</x:v>
      </x:c>
      <x:c r="F32" s="2" t="str">
        <x:v>1) Acceder al módulo. 2) Ingresar o consultar datos. 3) Ejecutar la acción. 4) Verificar resultado.</x:v>
      </x:c>
      <x:c r="G32" s="2" t="str">
        <x:v>Si los datos son inválidos, el sistema muestra mensaje de validación y no guarda cambios.</x:v>
      </x:c>
      <x:c r="H32" s="2" t="str">
        <x:v>Lista productos con stock &lt;= mínimo</x:v>
      </x:c>
      <x:c r="I32" s="2" t="str">
        <x:v>EV-031 Captura stock crítico</x:v>
      </x:c>
    </x:row>
    <x:row r="33">
      <x:c r="A33" s="2" t="str">
        <x:v>CU-032</x:v>
      </x:c>
      <x:c r="B33" s="2" t="str">
        <x:v>Preparar datos históricos para el modelo de ia</x:v>
      </x:c>
      <x:c r="C33" s="2" t="str">
        <x:v>Sistema / administrador</x:v>
      </x:c>
      <x:c r="D33" s="2" t="str">
        <x:v>RF-032</x:v>
      </x:c>
      <x:c r="E33" s="2" t="str">
        <x:v>Usuario autenticado y autorizado</x:v>
      </x:c>
      <x:c r="F33" s="2" t="str">
        <x:v>1) Acceder al módulo. 2) Ingresar o consultar datos. 3) Ejecutar la acción. 4) Verificar resultado.</x:v>
      </x:c>
      <x:c r="G33" s="2" t="str">
        <x:v>Si los datos son inválidos, el sistema muestra mensaje de validación y no guarda cambios.</x:v>
      </x:c>
      <x:c r="H33" s="2" t="str">
        <x:v>Dataset generado sin nulos críticos y con variables requeridas</x:v>
      </x:c>
      <x:c r="I33" s="2" t="str">
        <x:v>EV-032 Captura dataset/registro de preparación</x:v>
      </x:c>
    </x:row>
    <x:row r="34">
      <x:c r="A34" s="2" t="str">
        <x:v>CU-033</x:v>
      </x:c>
      <x:c r="B34" s="2" t="str">
        <x:v>Calcular indicadores de ventas, inventario, demanda y margen para el análisis de riesgo</x:v>
      </x:c>
      <x:c r="C34" s="2" t="str">
        <x:v>Sistema</x:v>
      </x:c>
      <x:c r="D34" s="2" t="str">
        <x:v>RF-033</x:v>
      </x:c>
      <x:c r="E34" s="2" t="str">
        <x:v>Usuario autenticado y autorizado</x:v>
      </x:c>
      <x:c r="F34" s="2" t="str">
        <x:v>1) Acceder al módulo. 2) Ingresar o consultar datos. 3) Ejecutar la acción. 4) Verificar resultado.</x:v>
      </x:c>
      <x:c r="G34" s="2" t="str">
        <x:v>Si los datos son inválidos, el sistema muestra mensaje de validación y no guarda cambios.</x:v>
      </x:c>
      <x:c r="H34" s="2" t="str">
        <x:v>Indicadores calculados correctamente por periodo</x:v>
      </x:c>
      <x:c r="I34" s="2" t="str">
        <x:v>EV-033 Captura indicadores o tabla BD</x:v>
      </x:c>
    </x:row>
    <x:row r="35">
      <x:c r="A35" s="2" t="str">
        <x:v>CU-034</x:v>
      </x:c>
      <x:c r="B35" s="2" t="str">
        <x:v>Ejecutar la predicción de demanda o riesgo empresarial mediante el modelo de ia configurado</x:v>
      </x:c>
      <x:c r="C35" s="2" t="str">
        <x:v>Administrador / gerente / sistema</x:v>
      </x:c>
      <x:c r="D35" s="2" t="str">
        <x:v>RF-034</x:v>
      </x:c>
      <x:c r="E35" s="2" t="str">
        <x:v>Usuario autenticado y autorizado</x:v>
      </x:c>
      <x:c r="F35" s="2" t="str">
        <x:v>1) Acceder al módulo. 2) Ingresar o consultar datos. 3) Ejecutar la acción. 4) Verificar resultado.</x:v>
      </x:c>
      <x:c r="G35" s="2" t="str">
        <x:v>Si los datos son inválidos, el sistema muestra mensaje de validación y no guarda cambios.</x:v>
      </x:c>
      <x:c r="H35" s="2" t="str">
        <x:v>Se genera predicción con nivel de riesgo y fecha</x:v>
      </x:c>
      <x:c r="I35" s="2" t="str">
        <x:v>EV-034 Captura predicción IA</x:v>
      </x:c>
    </x:row>
    <x:row r="36">
      <x:c r="A36" s="2" t="str">
        <x:v>CU-035</x:v>
      </x:c>
      <x:c r="B36" s="2" t="str">
        <x:v>Mostrar el nivel de riesgo empresarial en un dashboard gerencial</x:v>
      </x:c>
      <x:c r="C36" s="2" t="str">
        <x:v>Gerente / administrador</x:v>
      </x:c>
      <x:c r="D36" s="2" t="str">
        <x:v>RF-035</x:v>
      </x:c>
      <x:c r="E36" s="2" t="str">
        <x:v>Usuario autenticado y autorizado</x:v>
      </x:c>
      <x:c r="F36" s="2" t="str">
        <x:v>1) Acceder al módulo. 2) Ingresar o consultar datos. 3) Ejecutar la acción. 4) Verificar resultado.</x:v>
      </x:c>
      <x:c r="G36" s="2" t="str">
        <x:v>Si los datos son inválidos, el sistema muestra mensaje de validación y no guarda cambios.</x:v>
      </x:c>
      <x:c r="H36" s="2" t="str">
        <x:v>Dashboard muestra riesgo bajo, medio o alto con explicación</x:v>
      </x:c>
      <x:c r="I36" s="2" t="str">
        <x:v>EV-035 Captura dashboard riesgo</x:v>
      </x:c>
    </x:row>
    <x:row r="37">
      <x:c r="A37" s="2" t="str">
        <x:v>CU-036</x:v>
      </x:c>
      <x:c r="B37" s="2" t="str">
        <x:v>Generar alertas gerenciales por riesgo empresarial o stock crítico</x:v>
      </x:c>
      <x:c r="C37" s="2" t="str">
        <x:v>Administrador / gerente</x:v>
      </x:c>
      <x:c r="D37" s="2" t="str">
        <x:v>RF-036</x:v>
      </x:c>
      <x:c r="E37" s="2" t="str">
        <x:v>Usuario autenticado y autorizado</x:v>
      </x:c>
      <x:c r="F37" s="2" t="str">
        <x:v>1) Acceder al módulo. 2) Ingresar o consultar datos. 3) Ejecutar la acción. 4) Verificar resultado.</x:v>
      </x:c>
      <x:c r="G37" s="2" t="str">
        <x:v>Si los datos son inválidos, el sistema muestra mensaje de validación y no guarda cambios.</x:v>
      </x:c>
      <x:c r="H37" s="2" t="str">
        <x:v>Sistema muestra alerta con recomendación básica</x:v>
      </x:c>
      <x:c r="I37" s="2" t="str">
        <x:v>EV-036 Captura alerta gerencial</x:v>
      </x:c>
    </x:row>
    <x:row r="38">
      <x:c r="A38" s="2" t="str">
        <x:v>CU-037</x:v>
      </x:c>
      <x:c r="B38" s="2" t="str">
        <x:v>Registrar auditoría de acciones críticas realizadas por usuarios</x:v>
      </x:c>
      <x:c r="C38" s="2" t="str">
        <x:v>Sistema / administrador</x:v>
      </x:c>
      <x:c r="D38" s="2" t="str">
        <x:v>RF-037</x:v>
      </x:c>
      <x:c r="E38" s="2" t="str">
        <x:v>Usuario autenticado y autorizado</x:v>
      </x:c>
      <x:c r="F38" s="2" t="str">
        <x:v>1) Acceder al módulo. 2) Ingresar o consultar datos. 3) Ejecutar la acción. 4) Verificar resultado.</x:v>
      </x:c>
      <x:c r="G38" s="2" t="str">
        <x:v>Si los datos son inválidos, el sistema muestra mensaje de validación y no guarda cambios.</x:v>
      </x:c>
      <x:c r="H38" s="2" t="str">
        <x:v>Acción queda registrada con usuario, fecha, módulo y detalle</x:v>
      </x:c>
      <x:c r="I38" s="2" t="str">
        <x:v>EV-037 Captura auditoría</x:v>
      </x:c>
    </x:row>
    <x:row r="39">
      <x:c r="A39" s="2" t="str">
        <x:v>CU-038</x:v>
      </x:c>
      <x:c r="B39" s="2" t="str">
        <x:v>Exportar reportes o datos operativos autorizados</x:v>
      </x:c>
      <x:c r="C39" s="2" t="str">
        <x:v>Administrador / gerente</x:v>
      </x:c>
      <x:c r="D39" s="2" t="str">
        <x:v>RF-038</x:v>
      </x:c>
      <x:c r="E39" s="2" t="str">
        <x:v>Usuario autenticado y autorizado</x:v>
      </x:c>
      <x:c r="F39" s="2" t="str">
        <x:v>1) Acceder al módulo. 2) Ingresar o consultar datos. 3) Ejecutar la acción. 4) Verificar resultado.</x:v>
      </x:c>
      <x:c r="G39" s="2" t="str">
        <x:v>Si los datos son inválidos, el sistema muestra mensaje de validación y no guarda cambios.</x:v>
      </x:c>
      <x:c r="H39" s="2" t="str">
        <x:v>Archivo exportado en formato permitido</x:v>
      </x:c>
      <x:c r="I39" s="2" t="str">
        <x:v>EV-038 Archivo exportado y captura</x:v>
      </x:c>
    </x:row>
    <x:row r="40">
      <x:c r="A40" s="2" t="str">
        <x:v>CU-039</x:v>
      </x:c>
      <x:c r="B40" s="2" t="str">
        <x:v>Realizar respaldo lógico o exportación de información crítica</x:v>
      </x:c>
      <x:c r="C40" s="2" t="str">
        <x:v>Administrador</x:v>
      </x:c>
      <x:c r="D40" s="2" t="str">
        <x:v>RF-039</x:v>
      </x:c>
      <x:c r="E40" s="2" t="str">
        <x:v>Usuario autenticado y autorizado</x:v>
      </x:c>
      <x:c r="F40" s="2" t="str">
        <x:v>1) Acceder al módulo. 2) Ingresar o consultar datos. 3) Ejecutar la acción. 4) Verificar resultado.</x:v>
      </x:c>
      <x:c r="G40" s="2" t="str">
        <x:v>Si los datos son inválidos, el sistema muestra mensaje de validación y no guarda cambios.</x:v>
      </x:c>
      <x:c r="H40" s="2" t="str">
        <x:v>Se genera respaldo o archivo exportable de datos críticos</x:v>
      </x:c>
      <x:c r="I40" s="2" t="str">
        <x:v>EV-039 Captura o archivo respaldo</x:v>
      </x:c>
    </x:row>
    <x:row r="41">
      <x:c r="A41" s="2" t="str">
        <x:v>CU-040</x:v>
      </x:c>
      <x:c r="B41" s="2" t="str">
        <x:v>Mantenimiento de datos maestros: categorías, marcas, tallas y métodos de pago</x:v>
      </x:c>
      <x:c r="C41" s="2" t="str">
        <x:v>Administrador</x:v>
      </x:c>
      <x:c r="D41" s="2" t="str">
        <x:v>RF-040</x:v>
      </x:c>
      <x:c r="E41" s="2" t="str">
        <x:v>Usuario autenticado y autorizado</x:v>
      </x:c>
      <x:c r="F41" s="2" t="str">
        <x:v>1) Acceder al módulo. 2) Ingresar o consultar datos. 3) Ejecutar la acción. 4) Verificar resultado.</x:v>
      </x:c>
      <x:c r="G41" s="2" t="str">
        <x:v>Si los datos son inválidos, el sistema muestra mensaje de validación y no guarda cambios.</x:v>
      </x:c>
      <x:c r="H41" s="2" t="str">
        <x:v>Dato maestro disponible para productos o ventas</x:v>
      </x:c>
      <x:c r="I41" s="2" t="str">
        <x:v>EV-040 Captura configuración</x:v>
      </x:c>
    </x:row>
    <x:row r="42">
      <x:c r="A42" s="2" t="str">
        <x:v>CU-041</x:v>
      </x:c>
      <x:c r="B42" s="2" t="str">
        <x:v>Monitorear calidad de datos para ia antes de ejecutar predicciones</x:v>
      </x:c>
      <x:c r="C42" s="2" t="str">
        <x:v>Sistema / administrador</x:v>
      </x:c>
      <x:c r="D42" s="2" t="str">
        <x:v>RF-041</x:v>
      </x:c>
      <x:c r="E42" s="2" t="str">
        <x:v>Usuario autenticado y autorizado</x:v>
      </x:c>
      <x:c r="F42" s="2" t="str">
        <x:v>1) Acceder al módulo. 2) Ingresar o consultar datos. 3) Ejecutar la acción. 4) Verificar resultado.</x:v>
      </x:c>
      <x:c r="G42" s="2" t="str">
        <x:v>Si los datos son inválidos, el sistema muestra mensaje de validación y no guarda cambios.</x:v>
      </x:c>
      <x:c r="H42" s="2" t="str">
        <x:v>Sistema informa completitud, consistencia y observaciones</x:v>
      </x:c>
      <x:c r="I42" s="2" t="str">
        <x:v>EV-041 Captura validación de datos</x:v>
      </x:c>
    </x:row>
    <x:row r="43">
      <x:c r="A43" s="2" t="str">
        <x:v>CU-042</x:v>
      </x:c>
      <x:c r="B43" s="2" t="str">
        <x:v>Gestionar parámetros generales del sistema y del modelo de riesgo</x:v>
      </x:c>
      <x:c r="C43" s="2" t="str">
        <x:v>Administrador</x:v>
      </x:c>
      <x:c r="D43" s="2" t="str">
        <x:v>RF-042</x:v>
      </x:c>
      <x:c r="E43" s="2" t="str">
        <x:v>Usuario autenticado y autorizado</x:v>
      </x:c>
      <x:c r="F43" s="2" t="str">
        <x:v>1) Acceder al módulo. 2) Ingresar o consultar datos. 3) Ejecutar la acción. 4) Verificar resultado.</x:v>
      </x:c>
      <x:c r="G43" s="2" t="str">
        <x:v>Si los datos son inválidos, el sistema muestra mensaje de validación y no guarda cambios.</x:v>
      </x:c>
      <x:c r="H43" s="2" t="str">
        <x:v>Parámetro se actualiza y afecta reglas correspondientes</x:v>
      </x:c>
      <x:c r="I43" s="2" t="str">
        <x:v>EV-042 Captura parámetros actualizados</x:v>
      </x:c>
    </x:row>
    <x:row r="44">
      <x:c r="A44" s="2" t="str">
        <x:v>CU-002</x:v>
      </x:c>
      <x:c r="B44" s="2" t="str">
        <x:v>Autenticar usuarios antes de permitir acceso a módulos internos</x:v>
      </x:c>
      <x:c r="C44" s="2" t="str">
        <x:v>Todos</x:v>
      </x:c>
      <x:c r="D44" s="2" t="str">
        <x:v>RNF-001</x:v>
      </x:c>
      <x:c r="E44" s="2" t="str">
        <x:v>Usuario registrado, visitante autorizado o credenciales disponibles</x:v>
      </x:c>
      <x:c r="F44" s="2" t="str">
        <x:v>1) Acceder al módulo. 2) Ingresar o consultar datos. 3) Ejecutar la acción. 4) Verificar resultado.</x:v>
      </x:c>
      <x:c r="G44" s="2" t="str">
        <x:v>Si los datos son inválidos, el sistema muestra mensaje de validación y no guarda cambios.</x:v>
      </x:c>
      <x:c r="H44" s="2" t="str">
        <x:v>Sin sesión no accede; con sesión válida accede</x:v>
      </x:c>
      <x:c r="I44" s="2" t="str">
        <x:v>EV-043 Captura ruta protegida</x:v>
      </x:c>
    </x:row>
    <x:row r="45">
      <x:c r="A45" s="2" t="str">
        <x:v>CU-004</x:v>
      </x:c>
      <x:c r="B45" s="2" t="str">
        <x:v>Restringir funcionalidades según rol asignado</x:v>
      </x:c>
      <x:c r="C45" s="2" t="str">
        <x:v>Administrador, vendedor, cliente, gerente</x:v>
      </x:c>
      <x:c r="D45" s="2" t="str">
        <x:v>RNF-002</x:v>
      </x:c>
      <x:c r="E45" s="2" t="str">
        <x:v>Usuario autenticado y autorizado</x:v>
      </x:c>
      <x:c r="F45" s="2" t="str">
        <x:v>1) Acceder al módulo. 2) Ingresar o consultar datos. 3) Ejecutar la acción. 4) Verificar resultado.</x:v>
      </x:c>
      <x:c r="G45" s="2" t="str">
        <x:v>Si los datos son inválidos, el sistema muestra mensaje de validación y no guarda cambios.</x:v>
      </x:c>
      <x:c r="H45" s="2" t="str">
        <x:v>Cada rol visualiza solo módulos autorizados</x:v>
      </x:c>
      <x:c r="I45" s="2" t="str">
        <x:v>EV-044 Capturas por rol</x:v>
      </x:c>
    </x:row>
    <x:row r="46">
      <x:c r="A46" s="2" t="str">
        <x:v>CU-024</x:v>
      </x:c>
      <x:c r="B46" s="2" t="str">
        <x:v>Mantener consistencia entre ventas, detalle de venta e inventario</x:v>
      </x:c>
      <x:c r="C46" s="2" t="str">
        <x:v>Sistema</x:v>
      </x:c>
      <x:c r="D46" s="2" t="str">
        <x:v>RNF-003</x:v>
      </x:c>
      <x:c r="E46" s="2" t="str">
        <x:v>Usuario autenticado y autorizado</x:v>
      </x:c>
      <x:c r="F46" s="2" t="str">
        <x:v>1) Acceder al módulo. 2) Ingresar o consultar datos. 3) Ejecutar la acción. 4) Verificar resultado.</x:v>
      </x:c>
      <x:c r="G46" s="2" t="str">
        <x:v>Si los datos son inválidos, el sistema muestra mensaje de validación y no guarda cambios.</x:v>
      </x:c>
      <x:c r="H46" s="2" t="str">
        <x:v>La venta y descuento de stock quedan consistentes</x:v>
      </x:c>
      <x:c r="I46" s="2" t="str">
        <x:v>EV-045 Captura BD venta/inventario</x:v>
      </x:c>
    </x:row>
    <x:row r="47">
      <x:c r="A47" s="2" t="str">
        <x:v>CU-014</x:v>
      </x:c>
      <x:c r="B47" s="2" t="str">
        <x:v>Presentar una interfaz clara, ordenada y comprensible para usuarios no técnicos</x:v>
      </x:c>
      <x:c r="C47" s="2" t="str">
        <x:v>Todos</x:v>
      </x:c>
      <x:c r="D47" s="2" t="str">
        <x:v>RNF-004</x:v>
      </x:c>
      <x:c r="E47" s="2" t="str">
        <x:v>Usuario registrado, visitante autorizado o credenciales disponibles</x:v>
      </x:c>
      <x:c r="F47" s="2" t="str">
        <x:v>1) Acceder al módulo. 2) Ingresar o consultar datos. 3) Ejecutar la acción. 4) Verificar resultado.</x:v>
      </x:c>
      <x:c r="G47" s="2" t="str">
        <x:v>Si los datos son inválidos, el sistema muestra mensaje de validación y no guarda cambios.</x:v>
      </x:c>
      <x:c r="H47" s="2" t="str">
        <x:v>Usuarios califican navegación como comprensible</x:v>
      </x:c>
      <x:c r="I47" s="2" t="str">
        <x:v>EV-046 Encuesta de usabilidad</x:v>
      </x:c>
    </x:row>
    <x:row r="48">
      <x:c r="A48" s="2" t="str">
        <x:v>CU-029</x:v>
      </x:c>
      <x:c r="B48" s="2" t="str">
        <x:v>Las operaciones principales deben responder en un tiempo aceptable para el usuario</x:v>
      </x:c>
      <x:c r="C48" s="2" t="str">
        <x:v>Todos</x:v>
      </x:c>
      <x:c r="D48" s="2" t="str">
        <x:v>RNF-005</x:v>
      </x:c>
      <x:c r="E48" s="2" t="str">
        <x:v>Usuario autenticado y autorizado</x:v>
      </x:c>
      <x:c r="F48" s="2" t="str">
        <x:v>1) Acceder al módulo. 2) Ingresar o consultar datos. 3) Ejecutar la acción. 4) Verificar resultado.</x:v>
      </x:c>
      <x:c r="G48" s="2" t="str">
        <x:v>Si los datos son inválidos, el sistema muestra mensaje de validación y no guarda cambios.</x:v>
      </x:c>
      <x:c r="H48" s="2" t="str">
        <x:v>Operaciones críticas responden en tiempo aceptable definido en tesis</x:v>
      </x:c>
      <x:c r="I48" s="2" t="str">
        <x:v>EV-047 Registro de tiempos</x:v>
      </x:c>
    </x:row>
    <x:row r="49">
      <x:c r="A49" s="2" t="str">
        <x:v>CU-039</x:v>
      </x:c>
      <x:c r="B49" s="2" t="str">
        <x:v>Estar disponible durante el horario operativo definido por la empresa</x:v>
      </x:c>
      <x:c r="C49" s="2" t="str">
        <x:v>Todos</x:v>
      </x:c>
      <x:c r="D49" s="2" t="str">
        <x:v>RNF-006</x:v>
      </x:c>
      <x:c r="E49" s="2" t="str">
        <x:v>Usuario autenticado y autorizado</x:v>
      </x:c>
      <x:c r="F49" s="2" t="str">
        <x:v>1) Acceder al módulo. 2) Ingresar o consultar datos. 3) Ejecutar la acción. 4) Verificar resultado.</x:v>
      </x:c>
      <x:c r="G49" s="2" t="str">
        <x:v>Si los datos son inválidos, el sistema muestra mensaje de validación y no guarda cambios.</x:v>
      </x:c>
      <x:c r="H49" s="2" t="str">
        <x:v>Sistema accesible sin error de servicio</x:v>
      </x:c>
      <x:c r="I49" s="2" t="str">
        <x:v>EV-048 Captura URL funcionando</x:v>
      </x:c>
    </x:row>
    <x:row r="50">
      <x:c r="A50" s="2" t="str">
        <x:v>CU-040</x:v>
      </x:c>
      <x:c r="B50" s="2" t="str">
        <x:v>El código debe organizarse por módulos para facilitar mantenimiento y crecimiento</x:v>
      </x:c>
      <x:c r="C50" s="2" t="str">
        <x:v>Desarrollador / administrador</x:v>
      </x:c>
      <x:c r="D50" s="2" t="str">
        <x:v>RNF-007</x:v>
      </x:c>
      <x:c r="E50" s="2" t="str">
        <x:v>Usuario autenticado y autorizado</x:v>
      </x:c>
      <x:c r="F50" s="2" t="str">
        <x:v>1) Acceder al módulo. 2) Ingresar o consultar datos. 3) Ejecutar la acción. 4) Verificar resultado.</x:v>
      </x:c>
      <x:c r="G50" s="2" t="str">
        <x:v>Si los datos son inválidos, el sistema muestra mensaje de validación y no guarda cambios.</x:v>
      </x:c>
      <x:c r="H50" s="2" t="str">
        <x:v>Estructura modular y nombres coherentes</x:v>
      </x:c>
      <x:c r="I50" s="2" t="str">
        <x:v>EV-049 Captura estructura de proyecto</x:v>
      </x:c>
    </x:row>
    <x:row r="51">
      <x:c r="A51" s="2" t="str">
        <x:v>CU-037</x:v>
      </x:c>
      <x:c r="B51" s="2" t="str">
        <x:v>Las acciones importantes deben quedar registradas para trazabilidad y control interno</x:v>
      </x:c>
      <x:c r="C51" s="2" t="str">
        <x:v>Administrador / sistema</x:v>
      </x:c>
      <x:c r="D51" s="2" t="str">
        <x:v>RNF-008</x:v>
      </x:c>
      <x:c r="E51" s="2" t="str">
        <x:v>Usuario autenticado y autorizado</x:v>
      </x:c>
      <x:c r="F51" s="2" t="str">
        <x:v>1) Acceder al módulo. 2) Ingresar o consultar datos. 3) Ejecutar la acción. 4) Verificar resultado.</x:v>
      </x:c>
      <x:c r="G51" s="2" t="str">
        <x:v>Si los datos son inválidos, el sistema muestra mensaje de validación y no guarda cambios.</x:v>
      </x:c>
      <x:c r="H51" s="2" t="str">
        <x:v>Cada acción crítica genera registro auditable</x:v>
      </x:c>
      <x:c r="I51" s="2" t="str">
        <x:v>EV-050 Tabla auditoría</x:v>
      </x:c>
    </x:row>
    <x:row r="52">
      <x:c r="A52" s="2" t="str">
        <x:v>CU-041</x:v>
      </x:c>
      <x:c r="B52" s="2" t="str">
        <x:v>El modelo ia debe usar datos completos, actualizados y consistentes para generar predicciones</x:v>
      </x:c>
      <x:c r="C52" s="2" t="str">
        <x:v>Sistema / administrador</x:v>
      </x:c>
      <x:c r="D52" s="2" t="str">
        <x:v>RNF-009</x:v>
      </x:c>
      <x:c r="E52" s="2" t="str">
        <x:v>Usuario autenticado y autorizado</x:v>
      </x:c>
      <x:c r="F52" s="2" t="str">
        <x:v>1) Acceder al módulo. 2) Ingresar o consultar datos. 3) Ejecutar la acción. 4) Verificar resultado.</x:v>
      </x:c>
      <x:c r="G52" s="2" t="str">
        <x:v>Si los datos son inválidos, el sistema muestra mensaje de validación y no guarda cambios.</x:v>
      </x:c>
      <x:c r="H52" s="2" t="str">
        <x:v>Sistema identifica datos insuficientes o inconsistentes</x:v>
      </x:c>
      <x:c r="I52" s="2" t="str">
        <x:v>EV-051 Reporte calidad datos</x:v>
      </x:c>
    </x:row>
    <x:row r="53">
      <x:c r="A53" s="2" t="str">
        <x:v>CU-035</x:v>
      </x:c>
      <x:c r="B53" s="2" t="str">
        <x:v>El resultado del riesgo debe mostrarse de forma entendible para gerente o administrador</x:v>
      </x:c>
      <x:c r="C53" s="2" t="str">
        <x:v>Gerente / administrador</x:v>
      </x:c>
      <x:c r="D53" s="2" t="str">
        <x:v>RNF-010</x:v>
      </x:c>
      <x:c r="E53" s="2" t="str">
        <x:v>Usuario autenticado y autorizado</x:v>
      </x:c>
      <x:c r="F53" s="2" t="str">
        <x:v>1) Acceder al módulo. 2) Ingresar o consultar datos. 3) Ejecutar la acción. 4) Verificar resultado.</x:v>
      </x:c>
      <x:c r="G53" s="2" t="str">
        <x:v>Si los datos son inválidos, el sistema muestra mensaje de validación y no guarda cambios.</x:v>
      </x:c>
      <x:c r="H53" s="2" t="str">
        <x:v>Dashboard muestra nivel, causa e interpretación básica</x:v>
      </x:c>
      <x:c r="I53" s="2" t="str">
        <x:v>EV-052 Captura explicación riesgo</x:v>
      </x:c>
    </x:row>
    <x:row r="54">
      <x:c r="A54" s="2" t="str">
        <x:v>CU-040</x:v>
      </x:c>
      <x:c r="B54" s="2" t="str">
        <x:v>Incorporar nuevos módulos o servicios sin rediseño completo</x:v>
      </x:c>
      <x:c r="C54" s="2" t="str">
        <x:v>Desarrollador</x:v>
      </x:c>
      <x:c r="D54" s="2" t="str">
        <x:v>RNF-011</x:v>
      </x:c>
      <x:c r="E54" s="2" t="str">
        <x:v>Usuario autenticado y autorizado</x:v>
      </x:c>
      <x:c r="F54" s="2" t="str">
        <x:v>1) Acceder al módulo. 2) Ingresar o consultar datos. 3) Ejecutar la acción. 4) Verificar resultado.</x:v>
      </x:c>
      <x:c r="G54" s="2" t="str">
        <x:v>Si los datos son inválidos, el sistema muestra mensaje de validación y no guarda cambios.</x:v>
      </x:c>
      <x:c r="H54" s="2" t="str">
        <x:v>Se identifican capas/módulos desacoplados</x:v>
      </x:c>
      <x:c r="I54" s="2" t="str">
        <x:v>EV-053 Diagrama/captura arquitectura</x:v>
      </x:c>
    </x:row>
    <x:row r="55">
      <x:c r="A55" s="2" t="str">
        <x:v>CU-039</x:v>
      </x:c>
      <x:c r="B55" s="2" t="str">
        <x:v>La información crítica debe contar con mecanismos de respaldo o exportación</x:v>
      </x:c>
      <x:c r="C55" s="2" t="str">
        <x:v>Administrador</x:v>
      </x:c>
      <x:c r="D55" s="2" t="str">
        <x:v>RNF-012</x:v>
      </x:c>
      <x:c r="E55" s="2" t="str">
        <x:v>Usuario autenticado y autorizado</x:v>
      </x:c>
      <x:c r="F55" s="2" t="str">
        <x:v>1) Acceder al módulo. 2) Ingresar o consultar datos. 3) Ejecutar la acción. 4) Verificar resultado.</x:v>
      </x:c>
      <x:c r="G55" s="2" t="str">
        <x:v>Si los datos son inválidos, el sistema muestra mensaje de validación y no guarda cambios.</x:v>
      </x:c>
      <x:c r="H55" s="2" t="str">
        <x:v>Sistema genera respaldo o exportación controlada</x:v>
      </x:c>
      <x:c r="I55" s="2" t="str">
        <x:v>EV-054 Archivo respaldo</x:v>
      </x:c>
    </x:row>
    <x:row r="56">
      <x:c r="A56" s="2" t="str">
        <x:v>CU-004</x:v>
      </x:c>
      <x:c r="B56" s="2" t="str">
        <x:v>Proteger información sensible y evitar exposición no autorizada de datos</x:v>
      </x:c>
      <x:c r="C56" s="2" t="str">
        <x:v>Todos</x:v>
      </x:c>
      <x:c r="D56" s="2" t="str">
        <x:v>RNF-013</x:v>
      </x:c>
      <x:c r="E56" s="2" t="str">
        <x:v>Usuario autenticado y autorizado</x:v>
      </x:c>
      <x:c r="F56" s="2" t="str">
        <x:v>1) Acceder al módulo. 2) Ingresar o consultar datos. 3) Ejecutar la acción. 4) Verificar resultado.</x:v>
      </x:c>
      <x:c r="G56" s="2" t="str">
        <x:v>Si los datos son inválidos, el sistema muestra mensaje de validación y no guarda cambios.</x:v>
      </x:c>
      <x:c r="H56" s="2" t="str">
        <x:v>El sistema bloquea acceso y no muestra datos sensibles</x:v>
      </x:c>
      <x:c r="I56" s="2" t="str">
        <x:v>EV-055 Captura acceso denegado</x:v>
      </x:c>
    </x:row>
    <x:row r="57">
      <x:c r="A57" s="2" t="str">
        <x:v>CU-034</x:v>
      </x:c>
      <x:c r="B57" s="2" t="str">
        <x:v>Las predicciones deben registrar versión del modelo, fecha de ejecución y variables usadas</x:v>
      </x:c>
      <x:c r="C57" s="2" t="str">
        <x:v>Sistema / administrador</x:v>
      </x:c>
      <x:c r="D57" s="2" t="str">
        <x:v>RNF-014</x:v>
      </x:c>
      <x:c r="E57" s="2" t="str">
        <x:v>Usuario autenticado y autorizado</x:v>
      </x:c>
      <x:c r="F57" s="2" t="str">
        <x:v>1) Acceder al módulo. 2) Ingresar o consultar datos. 3) Ejecutar la acción. 4) Verificar resultado.</x:v>
      </x:c>
      <x:c r="G57" s="2" t="str">
        <x:v>Si los datos son inválidos, el sistema muestra mensaje de validación y no guarda cambios.</x:v>
      </x:c>
      <x:c r="H57" s="2" t="str">
        <x:v>Resultado guarda versión, variables y fecha</x:v>
      </x:c>
      <x:c r="I57" s="2" t="str">
        <x:v>EV-056 Registro predicción con versión</x:v>
      </x:c>
    </x:row>
  </x:sheetData>
  <x:pageMargins left="0.7" right="0.7" top="0.75" bottom="0.75" header="0.3" footer="0.3"/>
  <x:tableParts count="1">
    <x:tablePart xmlns:r="http://schemas.openxmlformats.org/officeDocument/2006/relationships" r:id="Rae744d3551de46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22" hidden="0" customWidth="1"/>
    <x:col min="5" max="5" width="30" hidden="0" customWidth="1"/>
    <x:col min="6" max="6" width="42" hidden="0" customWidth="1"/>
    <x:col min="7" max="7" width="40" hidden="0" customWidth="1"/>
    <x:col min="8" max="8" width="34" hidden="0" customWidth="1"/>
    <x:col min="9" max="9" width="20" hidden="0" customWidth="1"/>
    <x:col min="10" max="10" width="28" hidden="0" customWidth="1"/>
    <x:col min="11" max="11" width="40" hidden="0" customWidth="1"/>
  </x:cols>
  <x:sheetData>
    <x:row r="1">
      <x:c r="A1" s="52" t="str">
        <x:v>Caso prueba</x:v>
      </x:c>
      <x:c r="B1" s="52" t="str">
        <x:v>Requisito</x:v>
      </x:c>
      <x:c r="C1" s="52" t="str">
        <x:v>Módulo/Componente</x:v>
      </x:c>
      <x:c r="D1" s="52" t="str">
        <x:v>Tipo prueba</x:v>
      </x:c>
      <x:c r="E1" s="52" t="str">
        <x:v>Datos de entrada</x:v>
      </x:c>
      <x:c r="F1" s="52" t="str">
        <x:v>Pasos de ejecución</x:v>
      </x:c>
      <x:c r="G1" s="52" t="str">
        <x:v>Resultado esperado</x:v>
      </x:c>
      <x:c r="H1" s="52" t="str">
        <x:v>Resultado obtenido</x:v>
      </x:c>
      <x:c r="I1" s="52" t="str">
        <x:v>Estado prueba</x:v>
      </x:c>
      <x:c r="J1" s="52" t="str">
        <x:v>Evidencia</x:v>
      </x:c>
      <x:c r="K1" s="52" t="str">
        <x:v>Observación de cierre</x:v>
      </x:c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CP-001</x:v>
      </x:c>
      <x:c r="B2" s="2" t="str">
        <x:v>RF-001</x:v>
      </x:c>
      <x:c r="C2" s="2" t="str">
        <x:v>Documento de análisis / Configuración inicial</x:v>
      </x:c>
      <x:c r="D2" s="2" t="str">
        <x:v>Revisión documental</x:v>
      </x:c>
      <x:c r="E2" s="2" t="str">
        <x:v>Ficha de diagnóstico y alcance</x:v>
      </x:c>
      <x:c r="F2" s="2" t="str">
        <x:v>1) Preparar datos. 2) Ejecutar operación del módulo. 3) Validar interfaz. 4) Validar persistencia/resultado. 5) Adjuntar evidencia.</x:v>
      </x:c>
      <x:c r="G2" s="2" t="str">
        <x:v>Documento aprobado y coherente con procesos priorizados</x:v>
      </x:c>
      <x:c r="H2" s="2" t="str">
        <x:v>Pendiente de ejecutar con evidencia real del sistema</x:v>
      </x:c>
      <x:c r="I2" s="2" t="str">
        <x:v>Diseñado</x:v>
      </x:c>
      <x:c r="J2" s="2" t="str">
        <x:v>EV-001 Acta o revisión del apartado de análisis</x:v>
      </x:c>
      <x:c r="K2" s="2" t="str">
        <x:v>El diagnóstico debe justificar módulos, exclusiones y criterios de sistematización.</x:v>
      </x:c>
    </x:row>
    <x:row r="3">
      <x:c r="A3" s="2" t="str">
        <x:v>CP-002</x:v>
      </x:c>
      <x:c r="B3" s="2" t="str">
        <x:v>RF-002</x:v>
      </x:c>
      <x:c r="C3" s="2" t="str">
        <x:v>Login</x:v>
      </x:c>
      <x:c r="D3" s="2" t="str">
        <x:v>Caja negra / integración</x:v>
      </x:c>
      <x:c r="E3" s="2" t="str">
        <x:v>Correo y contraseña válidos e inválidos</x:v>
      </x:c>
      <x:c r="F3" s="2" t="str">
        <x:v>1) Preparar datos. 2) Ejecutar operación del módulo. 3) Validar interfaz. 4) Validar persistencia/resultado. 5) Adjuntar evidencia.</x:v>
      </x:c>
      <x:c r="G3" s="2" t="str">
        <x:v>Usuario válido ingresa al dashboard; usuario inválido recibe mensaje de error</x:v>
      </x:c>
      <x:c r="H3" s="2" t="str">
        <x:v>Pendiente de ejecutar con evidencia real del sistema</x:v>
      </x:c>
      <x:c r="I3" s="2" t="str">
        <x:v>Pendiente de evidencia</x:v>
      </x:c>
      <x:c r="J3" s="2" t="str">
        <x:v>EV-002 Capturas login válido e inválido</x:v>
      </x:c>
      <x:c r="K3" s="2" t="str">
        <x:v>Debe proteger rutas internas y registrar sesión del usuario autenticado.</x:v>
      </x:c>
    </x:row>
    <x:row r="4">
      <x:c r="A4" s="2" t="str">
        <x:v>CP-003</x:v>
      </x:c>
      <x:c r="B4" s="2" t="str">
        <x:v>RF-003</x:v>
      </x:c>
      <x:c r="C4" s="2" t="str">
        <x:v>Gestión de usuarios</x:v>
      </x:c>
      <x:c r="D4" s="2" t="str">
        <x:v>Caja negra / validación</x:v>
      </x:c>
      <x:c r="E4" s="2" t="str">
        <x:v>Nombre, correo, DNI, rol y estado</x:v>
      </x:c>
      <x:c r="F4" s="2" t="str">
        <x:v>1) Preparar datos. 2) Ejecutar operación del módulo. 3) Validar interfaz. 4) Validar persistencia/resultado. 5) Adjuntar evidencia.</x:v>
      </x:c>
      <x:c r="G4" s="2" t="str">
        <x:v>Usuario interno queda registrado sin duplicidad de correo o DNI</x:v>
      </x:c>
      <x:c r="H4" s="2" t="str">
        <x:v>Pendiente de ejecutar con evidencia real del sistema</x:v>
      </x:c>
      <x:c r="I4" s="2" t="str">
        <x:v>Pendiente de evidencia</x:v>
      </x:c>
      <x:c r="J4" s="2" t="str">
        <x:v>EV-003 Captura de usuario registrado y fila BD</x:v>
      </x:c>
      <x:c r="K4" s="2" t="str">
        <x:v>Debe validar campos obligatorios, rol permitido y duplicidad.</x:v>
      </x:c>
    </x:row>
    <x:row r="5">
      <x:c r="A5" s="2" t="str">
        <x:v>CP-004</x:v>
      </x:c>
      <x:c r="B5" s="2" t="str">
        <x:v>RF-004</x:v>
      </x:c>
      <x:c r="C5" s="2" t="str">
        <x:v>Gestión de usuarios</x:v>
      </x:c>
      <x:c r="D5" s="2" t="str">
        <x:v>Caja negra / regresión</x:v>
      </x:c>
      <x:c r="E5" s="2" t="str">
        <x:v>Usuario existente y nuevo estado</x:v>
      </x:c>
      <x:c r="F5" s="2" t="str">
        <x:v>1) Preparar datos. 2) Ejecutar operación del módulo. 3) Validar interfaz. 4) Validar persistencia/resultado. 5) Adjuntar evidencia.</x:v>
      </x:c>
      <x:c r="G5" s="2" t="str">
        <x:v>El usuario cambia de estado sin eliminar historial</x:v>
      </x:c>
      <x:c r="H5" s="2" t="str">
        <x:v>Pendiente de ejecutar con evidencia real del sistema</x:v>
      </x:c>
      <x:c r="I5" s="2" t="str">
        <x:v>Pendiente de evidencia</x:v>
      </x:c>
      <x:c r="J5" s="2" t="str">
        <x:v>EV-004 Captura de edición/desactivación</x:v>
      </x:c>
      <x:c r="K5" s="2" t="str">
        <x:v>Debe aplicar eliminación lógica y registrar auditoría.</x:v>
      </x:c>
    </x:row>
    <x:row r="6">
      <x:c r="A6" s="2" t="str">
        <x:v>CP-005</x:v>
      </x:c>
      <x:c r="B6" s="2" t="str">
        <x:v>RF-005</x:v>
      </x:c>
      <x:c r="C6" s="2" t="str">
        <x:v>Recuperación de acceso</x:v>
      </x:c>
      <x:c r="D6" s="2" t="str">
        <x:v>Caja negra</x:v>
      </x:c>
      <x:c r="E6" s="2" t="str">
        <x:v>Correo registrado y no registrado</x:v>
      </x:c>
      <x:c r="F6" s="2" t="str">
        <x:v>1) Preparar datos. 2) Ejecutar operación del módulo. 3) Validar interfaz. 4) Validar persistencia/resultado. 5) Adjuntar evidencia.</x:v>
      </x:c>
      <x:c r="G6" s="2" t="str">
        <x:v>Se emite instrucción de recuperación o mensaje controlado</x:v>
      </x:c>
      <x:c r="H6" s="2" t="str">
        <x:v>Pendiente de ejecutar con evidencia real del sistema</x:v>
      </x:c>
      <x:c r="I6" s="2" t="str">
        <x:v>Diseñado</x:v>
      </x:c>
      <x:c r="J6" s="2" t="str">
        <x:v>EV-005 Captura flujo recuperación</x:v>
      </x:c>
      <x:c r="K6" s="2" t="str">
        <x:v>No debe revelar si un correo existe a usuarios no autorizados.</x:v>
      </x:c>
    </x:row>
    <x:row r="7">
      <x:c r="A7" s="2" t="str">
        <x:v>CP-006</x:v>
      </x:c>
      <x:c r="B7" s="2" t="str">
        <x:v>RF-006</x:v>
      </x:c>
      <x:c r="C7" s="2" t="str">
        <x:v>Formulario producto</x:v>
      </x:c>
      <x:c r="D7" s="2" t="str">
        <x:v>Caja negra / integración</x:v>
      </x:c>
      <x:c r="E7" s="2" t="str">
        <x:v>Nombre, marca, categoría, talla, color, género, precio y stock</x:v>
      </x:c>
      <x:c r="F7" s="2" t="str">
        <x:v>1) Preparar datos. 2) Ejecutar operación del módulo. 3) Validar interfaz. 4) Validar persistencia/resultado. 5) Adjuntar evidencia.</x:v>
      </x:c>
      <x:c r="G7" s="2" t="str">
        <x:v>Producto guardado y visible en listado</x:v>
      </x:c>
      <x:c r="H7" s="2" t="str">
        <x:v>Pendiente de ejecutar con evidencia real del sistema</x:v>
      </x:c>
      <x:c r="I7" s="2" t="str">
        <x:v>Pendiente de evidencia</x:v>
      </x:c>
      <x:c r="J7" s="2" t="str">
        <x:v>EV-006 Captura formulario y listado</x:v>
      </x:c>
      <x:c r="K7" s="2" t="str">
        <x:v>Debe exigir campos mínimos y asociar categoría y marca válidas.</x:v>
      </x:c>
    </x:row>
    <x:row r="8">
      <x:c r="A8" s="2" t="str">
        <x:v>CP-007</x:v>
      </x:c>
      <x:c r="B8" s="2" t="str">
        <x:v>RF-007</x:v>
      </x:c>
      <x:c r="C8" s="2" t="str">
        <x:v>Edición producto</x:v>
      </x:c>
      <x:c r="D8" s="2" t="str">
        <x:v>Caja negra / regresión</x:v>
      </x:c>
      <x:c r="E8" s="2" t="str">
        <x:v>Producto existente y nuevos datos</x:v>
      </x:c>
      <x:c r="F8" s="2" t="str">
        <x:v>1) Preparar datos. 2) Ejecutar operación del módulo. 3) Validar interfaz. 4) Validar persistencia/resultado. 5) Adjuntar evidencia.</x:v>
      </x:c>
      <x:c r="G8" s="2" t="str">
        <x:v>Producto actualizado sin perder relación con inventario</x:v>
      </x:c>
      <x:c r="H8" s="2" t="str">
        <x:v>Pendiente de ejecutar con evidencia real del sistema</x:v>
      </x:c>
      <x:c r="I8" s="2" t="str">
        <x:v>Pendiente de evidencia</x:v>
      </x:c>
      <x:c r="J8" s="2" t="str">
        <x:v>EV-007 Captura antes/después</x:v>
      </x:c>
      <x:c r="K8" s="2" t="str">
        <x:v>Debe mantener integridad entre producto, inventario y ventas históricas.</x:v>
      </x:c>
    </x:row>
    <x:row r="9">
      <x:c r="A9" s="2" t="str">
        <x:v>CP-008</x:v>
      </x:c>
      <x:c r="B9" s="2" t="str">
        <x:v>RF-008</x:v>
      </x:c>
      <x:c r="C9" s="2" t="str">
        <x:v>Estado producto</x:v>
      </x:c>
      <x:c r="D9" s="2" t="str">
        <x:v>Caja negra</x:v>
      </x:c>
      <x:c r="E9" s="2" t="str">
        <x:v>Producto activo/inactivo</x:v>
      </x:c>
      <x:c r="F9" s="2" t="str">
        <x:v>1) Preparar datos. 2) Ejecutar operación del módulo. 3) Validar interfaz. 4) Validar persistencia/resultado. 5) Adjuntar evidencia.</x:v>
      </x:c>
      <x:c r="G9" s="2" t="str">
        <x:v>Producto inactivo no aparece como vendible, pero conserva historial</x:v>
      </x:c>
      <x:c r="H9" s="2" t="str">
        <x:v>Pendiente de ejecutar con evidencia real del sistema</x:v>
      </x:c>
      <x:c r="I9" s="2" t="str">
        <x:v>Pendiente de evidencia</x:v>
      </x:c>
      <x:c r="J9" s="2" t="str">
        <x:v>EV-008 Captura producto inactivo</x:v>
      </x:c>
      <x:c r="K9" s="2" t="str">
        <x:v>Debe aplicar eliminación lógica y no física.</x:v>
      </x:c>
    </x:row>
    <x:row r="10">
      <x:c r="A10" s="2" t="str">
        <x:v>CP-009</x:v>
      </x:c>
      <x:c r="B10" s="2" t="str">
        <x:v>RF-009</x:v>
      </x:c>
      <x:c r="C10" s="2" t="str">
        <x:v>Catálogo / filtros</x:v>
      </x:c>
      <x:c r="D10" s="2" t="str">
        <x:v>Caja negra / usabilidad</x:v>
      </x:c>
      <x:c r="E10" s="2" t="str">
        <x:v>Filtros de categoría, marca, talla, color y género</x:v>
      </x:c>
      <x:c r="F10" s="2" t="str">
        <x:v>1) Preparar datos. 2) Ejecutar operación del módulo. 3) Validar interfaz. 4) Validar persistencia/resultado. 5) Adjuntar evidencia.</x:v>
      </x:c>
      <x:c r="G10" s="2" t="str">
        <x:v>El listado muestra productos filtrados correctamente</x:v>
      </x:c>
      <x:c r="H10" s="2" t="str">
        <x:v>Pendiente de ejecutar con evidencia real del sistema</x:v>
      </x:c>
      <x:c r="I10" s="2" t="str">
        <x:v>Pendiente de evidencia</x:v>
      </x:c>
      <x:c r="J10" s="2" t="str">
        <x:v>EV-009 Capturas filtros aplicados</x:v>
      </x:c>
      <x:c r="K10" s="2" t="str">
        <x:v>Debe responder con resultados coherentes y sin datos duplicados.</x:v>
      </x:c>
    </x:row>
    <x:row r="11">
      <x:c r="A11" s="2" t="str">
        <x:v>CP-010</x:v>
      </x:c>
      <x:c r="B11" s="2" t="str">
        <x:v>RF-010</x:v>
      </x:c>
      <x:c r="C11" s="2" t="str">
        <x:v>Entrada inventario</x:v>
      </x:c>
      <x:c r="D11" s="2" t="str">
        <x:v>Caja negra / integración</x:v>
      </x:c>
      <x:c r="E11" s="2" t="str">
        <x:v>Producto, cantidad, motivo y responsable</x:v>
      </x:c>
      <x:c r="F11" s="2" t="str">
        <x:v>1) Preparar datos. 2) Ejecutar operación del módulo. 3) Validar interfaz. 4) Validar persistencia/resultado. 5) Adjuntar evidencia.</x:v>
      </x:c>
      <x:c r="G11" s="2" t="str">
        <x:v>Stock aumenta y se registra movimiento de entrada</x:v>
      </x:c>
      <x:c r="H11" s="2" t="str">
        <x:v>Pendiente de ejecutar con evidencia real del sistema</x:v>
      </x:c>
      <x:c r="I11" s="2" t="str">
        <x:v>Pendiente de evidencia</x:v>
      </x:c>
      <x:c r="J11" s="2" t="str">
        <x:v>EV-010 Captura entrada y stock actualizado</x:v>
      </x:c>
      <x:c r="K11" s="2" t="str">
        <x:v>Toda entrada debe tener responsable, fecha y motivo.</x:v>
      </x:c>
    </x:row>
    <x:row r="12">
      <x:c r="A12" s="2" t="str">
        <x:v>CP-011</x:v>
      </x:c>
      <x:c r="B12" s="2" t="str">
        <x:v>RF-011</x:v>
      </x:c>
      <x:c r="C12" s="2" t="str">
        <x:v>Listado inventario</x:v>
      </x:c>
      <x:c r="D12" s="2" t="str">
        <x:v>Caja negra</x:v>
      </x:c>
      <x:c r="E12" s="2" t="str">
        <x:v>Consulta de stock por producto</x:v>
      </x:c>
      <x:c r="F12" s="2" t="str">
        <x:v>1) Preparar datos. 2) Ejecutar operación del módulo. 3) Validar interfaz. 4) Validar persistencia/resultado. 5) Adjuntar evidencia.</x:v>
      </x:c>
      <x:c r="G12" s="2" t="str">
        <x:v>El sistema muestra stock actual por producto y variante</x:v>
      </x:c>
      <x:c r="H12" s="2" t="str">
        <x:v>Pendiente de ejecutar con evidencia real del sistema</x:v>
      </x:c>
      <x:c r="I12" s="2" t="str">
        <x:v>Pendiente de evidencia</x:v>
      </x:c>
      <x:c r="J12" s="2" t="str">
        <x:v>EV-011 Captura inventario</x:v>
      </x:c>
      <x:c r="K12" s="2" t="str">
        <x:v>El stock debe coincidir con movimientos acumulados.</x:v>
      </x:c>
    </x:row>
    <x:row r="13">
      <x:c r="A13" s="2" t="str">
        <x:v>CP-012</x:v>
      </x:c>
      <x:c r="B13" s="2" t="str">
        <x:v>RF-012</x:v>
      </x:c>
      <x:c r="C13" s="2" t="str">
        <x:v>Alertas de stock</x:v>
      </x:c>
      <x:c r="D13" s="2" t="str">
        <x:v>Caja negra / regla de negocio</x:v>
      </x:c>
      <x:c r="E13" s="2" t="str">
        <x:v>Producto con stock menor o igual al mínimo</x:v>
      </x:c>
      <x:c r="F13" s="2" t="str">
        <x:v>1) Preparar datos. 2) Ejecutar operación del módulo. 3) Validar interfaz. 4) Validar persistencia/resultado. 5) Adjuntar evidencia.</x:v>
      </x:c>
      <x:c r="G13" s="2" t="str">
        <x:v>Se muestra alerta de stock crítico</x:v>
      </x:c>
      <x:c r="H13" s="2" t="str">
        <x:v>Pendiente de ejecutar con evidencia real del sistema</x:v>
      </x:c>
      <x:c r="I13" s="2" t="str">
        <x:v>Pendiente de evidencia</x:v>
      </x:c>
      <x:c r="J13" s="2" t="str">
        <x:v>EV-012 Captura alerta stock mínimo</x:v>
      </x:c>
      <x:c r="K13" s="2" t="str">
        <x:v>La alerta debe ser visible en inventario o dashboard.</x:v>
      </x:c>
    </x:row>
    <x:row r="14">
      <x:c r="A14" s="2" t="str">
        <x:v>CP-013</x:v>
      </x:c>
      <x:c r="B14" s="2" t="str">
        <x:v>RF-013</x:v>
      </x:c>
      <x:c r="C14" s="2" t="str">
        <x:v>Ajuste inventario</x:v>
      </x:c>
      <x:c r="D14" s="2" t="str">
        <x:v>Caja negra / auditoría</x:v>
      </x:c>
      <x:c r="E14" s="2" t="str">
        <x:v>Producto, cantidad, tipo de ajuste y motivo</x:v>
      </x:c>
      <x:c r="F14" s="2" t="str">
        <x:v>1) Preparar datos. 2) Ejecutar operación del módulo. 3) Validar interfaz. 4) Validar persistencia/resultado. 5) Adjuntar evidencia.</x:v>
      </x:c>
      <x:c r="G14" s="2" t="str">
        <x:v>Stock se ajusta y queda registro auditable</x:v>
      </x:c>
      <x:c r="H14" s="2" t="str">
        <x:v>Pendiente de ejecutar con evidencia real del sistema</x:v>
      </x:c>
      <x:c r="I14" s="2" t="str">
        <x:v>Diseñado</x:v>
      </x:c>
      <x:c r="J14" s="2" t="str">
        <x:v>EV-013 Captura ajuste con motivo</x:v>
      </x:c>
      <x:c r="K14" s="2" t="str">
        <x:v>Debe requerir motivo y usuario responsable.</x:v>
      </x:c>
    </x:row>
    <x:row r="15">
      <x:c r="A15" s="2" t="str">
        <x:v>CP-014</x:v>
      </x:c>
      <x:c r="B15" s="2" t="str">
        <x:v>RF-014</x:v>
      </x:c>
      <x:c r="C15" s="2" t="str">
        <x:v>Catálogo público</x:v>
      </x:c>
      <x:c r="D15" s="2" t="str">
        <x:v>Caja negra / usabilidad</x:v>
      </x:c>
      <x:c r="E15" s="2" t="str">
        <x:v>Ingreso a catálogo</x:v>
      </x:c>
      <x:c r="F15" s="2" t="str">
        <x:v>1) Preparar datos. 2) Ejecutar operación del módulo. 3) Validar interfaz. 4) Validar persistencia/resultado. 5) Adjuntar evidencia.</x:v>
      </x:c>
      <x:c r="G15" s="2" t="str">
        <x:v>El cliente visualiza productos activos con información comercial</x:v>
      </x:c>
      <x:c r="H15" s="2" t="str">
        <x:v>Pendiente de ejecutar con evidencia real del sistema</x:v>
      </x:c>
      <x:c r="I15" s="2" t="str">
        <x:v>Pendiente de evidencia</x:v>
      </x:c>
      <x:c r="J15" s="2" t="str">
        <x:v>EV-014 Captura catálogo público</x:v>
      </x:c>
      <x:c r="K15" s="2" t="str">
        <x:v>Solo deben mostrarse productos activos y disponibles.</x:v>
      </x:c>
    </x:row>
    <x:row r="16">
      <x:c r="A16" s="2" t="str">
        <x:v>CP-015</x:v>
      </x:c>
      <x:c r="B16" s="2" t="str">
        <x:v>RF-015</x:v>
      </x:c>
      <x:c r="C16" s="2" t="str">
        <x:v>Registro cliente</x:v>
      </x:c>
      <x:c r="D16" s="2" t="str">
        <x:v>Caja negra / validación</x:v>
      </x:c>
      <x:c r="E16" s="2" t="str">
        <x:v>Nombre, DNI, correo, teléfono y dirección</x:v>
      </x:c>
      <x:c r="F16" s="2" t="str">
        <x:v>1) Preparar datos. 2) Ejecutar operación del módulo. 3) Validar interfaz. 4) Validar persistencia/resultado. 5) Adjuntar evidencia.</x:v>
      </x:c>
      <x:c r="G16" s="2" t="str">
        <x:v>Cliente registrado sin duplicidad y con datos válidos</x:v>
      </x:c>
      <x:c r="H16" s="2" t="str">
        <x:v>Pendiente de ejecutar con evidencia real del sistema</x:v>
      </x:c>
      <x:c r="I16" s="2" t="str">
        <x:v>Pendiente de evidencia</x:v>
      </x:c>
      <x:c r="J16" s="2" t="str">
        <x:v>EV-015 Captura cliente registrado</x:v>
      </x:c>
      <x:c r="K16" s="2" t="str">
        <x:v>Debe validar correo, DNI y campos obligatorios.</x:v>
      </x:c>
    </x:row>
    <x:row r="17">
      <x:c r="A17" s="2" t="str">
        <x:v>CP-016</x:v>
      </x:c>
      <x:c r="B17" s="2" t="str">
        <x:v>RF-016</x:v>
      </x:c>
      <x:c r="C17" s="2" t="str">
        <x:v>Carrito</x:v>
      </x:c>
      <x:c r="D17" s="2" t="str">
        <x:v>Caja negra / integración</x:v>
      </x:c>
      <x:c r="E17" s="2" t="str">
        <x:v>Producto, talla, color y cantidad</x:v>
      </x:c>
      <x:c r="F17" s="2" t="str">
        <x:v>1) Preparar datos. 2) Ejecutar operación del módulo. 3) Validar interfaz. 4) Validar persistencia/resultado. 5) Adjuntar evidencia.</x:v>
      </x:c>
      <x:c r="G17" s="2" t="str">
        <x:v>Producto agregado al carrito con subtotal correcto</x:v>
      </x:c>
      <x:c r="H17" s="2" t="str">
        <x:v>Pendiente de ejecutar con evidencia real del sistema</x:v>
      </x:c>
      <x:c r="I17" s="2" t="str">
        <x:v>Pendiente de evidencia</x:v>
      </x:c>
      <x:c r="J17" s="2" t="str">
        <x:v>EV-016 Captura carrito</x:v>
      </x:c>
      <x:c r="K17" s="2" t="str">
        <x:v>Debe validar disponibilidad antes de agregar o confirmar.</x:v>
      </x:c>
    </x:row>
    <x:row r="18">
      <x:c r="A18" s="2" t="str">
        <x:v>CP-017</x:v>
      </x:c>
      <x:c r="B18" s="2" t="str">
        <x:v>RF-017</x:v>
      </x:c>
      <x:c r="C18" s="2" t="str">
        <x:v>Checkout</x:v>
      </x:c>
      <x:c r="D18" s="2" t="str">
        <x:v>Caja negra / integración</x:v>
      </x:c>
      <x:c r="E18" s="2" t="str">
        <x:v>Carrito confirmado y datos de entrega</x:v>
      </x:c>
      <x:c r="F18" s="2" t="str">
        <x:v>1) Preparar datos. 2) Ejecutar operación del módulo. 3) Validar interfaz. 4) Validar persistencia/resultado. 5) Adjuntar evidencia.</x:v>
      </x:c>
      <x:c r="G18" s="2" t="str">
        <x:v>Pedido registrado con número, detalle y estado inicial</x:v>
      </x:c>
      <x:c r="H18" s="2" t="str">
        <x:v>Pendiente de ejecutar con evidencia real del sistema</x:v>
      </x:c>
      <x:c r="I18" s="2" t="str">
        <x:v>Pendiente de evidencia</x:v>
      </x:c>
      <x:c r="J18" s="2" t="str">
        <x:v>EV-017 Captura pedido registrado</x:v>
      </x:c>
      <x:c r="K18" s="2" t="str">
        <x:v>Debe guardar cabecera y detalle del pedido.</x:v>
      </x:c>
    </x:row>
    <x:row r="19">
      <x:c r="A19" s="2" t="str">
        <x:v>CP-018</x:v>
      </x:c>
      <x:c r="B19" s="2" t="str">
        <x:v>RF-018</x:v>
      </x:c>
      <x:c r="C19" s="2" t="str">
        <x:v>Validación checkout</x:v>
      </x:c>
      <x:c r="D19" s="2" t="str">
        <x:v>Caja negra / regla de negocio</x:v>
      </x:c>
      <x:c r="E19" s="2" t="str">
        <x:v>Pedido con stock suficiente e insuficiente</x:v>
      </x:c>
      <x:c r="F19" s="2" t="str">
        <x:v>1) Preparar datos. 2) Ejecutar operación del módulo. 3) Validar interfaz. 4) Validar persistencia/resultado. 5) Adjuntar evidencia.</x:v>
      </x:c>
      <x:c r="G19" s="2" t="str">
        <x:v>Confirma si hay stock; bloquea si no hay disponibilidad</x:v>
      </x:c>
      <x:c r="H19" s="2" t="str">
        <x:v>Pendiente de ejecutar con evidencia real del sistema</x:v>
      </x:c>
      <x:c r="I19" s="2" t="str">
        <x:v>Pendiente de evidencia</x:v>
      </x:c>
      <x:c r="J19" s="2" t="str">
        <x:v>EV-018 Captura error por stock insuficiente</x:v>
      </x:c>
      <x:c r="K19" s="2" t="str">
        <x:v>Debe evitar sobreventa.</x:v>
      </x:c>
    </x:row>
    <x:row r="20">
      <x:c r="A20" s="2" t="str">
        <x:v>CP-019</x:v>
      </x:c>
      <x:c r="B20" s="2" t="str">
        <x:v>RF-019</x:v>
      </x:c>
      <x:c r="C20" s="2" t="str">
        <x:v>Gestión pedidos</x:v>
      </x:c>
      <x:c r="D20" s="2" t="str">
        <x:v>Caja negra</x:v>
      </x:c>
      <x:c r="E20" s="2" t="str">
        <x:v>Pedido pendiente y nuevo estado</x:v>
      </x:c>
      <x:c r="F20" s="2" t="str">
        <x:v>1) Preparar datos. 2) Ejecutar operación del módulo. 3) Validar interfaz. 4) Validar persistencia/resultado. 5) Adjuntar evidencia.</x:v>
      </x:c>
      <x:c r="G20" s="2" t="str">
        <x:v>El pedido cambia a confirmado, enviado, entregado o cancelado</x:v>
      </x:c>
      <x:c r="H20" s="2" t="str">
        <x:v>Pendiente de ejecutar con evidencia real del sistema</x:v>
      </x:c>
      <x:c r="I20" s="2" t="str">
        <x:v>Pendiente de evidencia</x:v>
      </x:c>
      <x:c r="J20" s="2" t="str">
        <x:v>EV-019 Captura cambio de estado</x:v>
      </x:c>
      <x:c r="K20" s="2" t="str">
        <x:v>Debe conservar historial y auditar cambios.</x:v>
      </x:c>
    </x:row>
    <x:row r="21">
      <x:c r="A21" s="2" t="str">
        <x:v>CP-020</x:v>
      </x:c>
      <x:c r="B21" s="2" t="str">
        <x:v>RF-020</x:v>
      </x:c>
      <x:c r="C21" s="2" t="str">
        <x:v>Pagos</x:v>
      </x:c>
      <x:c r="D21" s="2" t="str">
        <x:v>Caja negra / integración</x:v>
      </x:c>
      <x:c r="E21" s="2" t="str">
        <x:v>Método de pago, monto y operación asociada</x:v>
      </x:c>
      <x:c r="F21" s="2" t="str">
        <x:v>1) Preparar datos. 2) Ejecutar operación del módulo. 3) Validar interfaz. 4) Validar persistencia/resultado. 5) Adjuntar evidencia.</x:v>
      </x:c>
      <x:c r="G21" s="2" t="str">
        <x:v>Pago registrado y asociado a venta o pedido</x:v>
      </x:c>
      <x:c r="H21" s="2" t="str">
        <x:v>Pendiente de ejecutar con evidencia real del sistema</x:v>
      </x:c>
      <x:c r="I21" s="2" t="str">
        <x:v>Pendiente de evidencia</x:v>
      </x:c>
      <x:c r="J21" s="2" t="str">
        <x:v>EV-020 Captura pago registrado</x:v>
      </x:c>
      <x:c r="K21" s="2" t="str">
        <x:v>Debe validar monto, método y operación relacionada.</x:v>
      </x:c>
    </x:row>
    <x:row r="22">
      <x:c r="A22" s="2" t="str">
        <x:v>CP-021</x:v>
      </x:c>
      <x:c r="B22" s="2" t="str">
        <x:v>RF-021</x:v>
      </x:c>
      <x:c r="C22" s="2" t="str">
        <x:v>Comprobante</x:v>
      </x:c>
      <x:c r="D22" s="2" t="str">
        <x:v>Caja negra</x:v>
      </x:c>
      <x:c r="E22" s="2" t="str">
        <x:v>Venta/pedido pagado</x:v>
      </x:c>
      <x:c r="F22" s="2" t="str">
        <x:v>1) Preparar datos. 2) Ejecutar operación del módulo. 3) Validar interfaz. 4) Validar persistencia/resultado. 5) Adjuntar evidencia.</x:v>
      </x:c>
      <x:c r="G22" s="2" t="str">
        <x:v>Comprobante generado con serie, número, fecha y total</x:v>
      </x:c>
      <x:c r="H22" s="2" t="str">
        <x:v>Pendiente de ejecutar con evidencia real del sistema</x:v>
      </x:c>
      <x:c r="I22" s="2" t="str">
        <x:v>Diseñado</x:v>
      </x:c>
      <x:c r="J22" s="2" t="str">
        <x:v>EV-021 Captura comprobante</x:v>
      </x:c>
      <x:c r="K22" s="2" t="str">
        <x:v>No reemplaza facturación electrónica avanzada si no hay integración SUNAT.</x:v>
      </x:c>
    </x:row>
    <x:row r="23">
      <x:c r="A23" s="2" t="str">
        <x:v>CP-022</x:v>
      </x:c>
      <x:c r="B23" s="2" t="str">
        <x:v>RF-022</x:v>
      </x:c>
      <x:c r="C23" s="2" t="str">
        <x:v>Nueva venta</x:v>
      </x:c>
      <x:c r="D23" s="2" t="str">
        <x:v>Caja negra / integración</x:v>
      </x:c>
      <x:c r="E23" s="2" t="str">
        <x:v>Cliente, productos, cantidades y método de pago</x:v>
      </x:c>
      <x:c r="F23" s="2" t="str">
        <x:v>1) Preparar datos. 2) Ejecutar operación del módulo. 3) Validar interfaz. 4) Validar persistencia/resultado. 5) Adjuntar evidencia.</x:v>
      </x:c>
      <x:c r="G23" s="2" t="str">
        <x:v>Venta registrada con detalle y total calculado</x:v>
      </x:c>
      <x:c r="H23" s="2" t="str">
        <x:v>Pendiente de ejecutar con evidencia real del sistema</x:v>
      </x:c>
      <x:c r="I23" s="2" t="str">
        <x:v>Pendiente de evidencia</x:v>
      </x:c>
      <x:c r="J23" s="2" t="str">
        <x:v>EV-022 Captura venta y detalle</x:v>
      </x:c>
      <x:c r="K23" s="2" t="str">
        <x:v>Debe guardar cabecera, detalle y responsable.</x:v>
      </x:c>
    </x:row>
    <x:row r="24">
      <x:c r="A24" s="2" t="str">
        <x:v>CP-023</x:v>
      </x:c>
      <x:c r="B24" s="2" t="str">
        <x:v>RF-023</x:v>
      </x:c>
      <x:c r="C24" s="2" t="str">
        <x:v>Cálculo venta</x:v>
      </x:c>
      <x:c r="D24" s="2" t="str">
        <x:v>Caja blanca / caja negra</x:v>
      </x:c>
      <x:c r="E24" s="2" t="str">
        <x:v>Cantidad, precio unitario y descuento</x:v>
      </x:c>
      <x:c r="F24" s="2" t="str">
        <x:v>1) Preparar datos. 2) Ejecutar operación del módulo. 3) Validar interfaz. 4) Validar persistencia/resultado. 5) Adjuntar evidencia.</x:v>
      </x:c>
      <x:c r="G24" s="2" t="str">
        <x:v>El total coincide con la operación matemática esperada</x:v>
      </x:c>
      <x:c r="H24" s="2" t="str">
        <x:v>Pendiente de ejecutar con evidencia real del sistema</x:v>
      </x:c>
      <x:c r="I24" s="2" t="str">
        <x:v>Pendiente de evidencia</x:v>
      </x:c>
      <x:c r="J24" s="2" t="str">
        <x:v>EV-023 Captura cálculo y validación</x:v>
      </x:c>
      <x:c r="K24" s="2" t="str">
        <x:v>Debe evitar errores de redondeo y descuentos no autorizados.</x:v>
      </x:c>
    </x:row>
    <x:row r="25">
      <x:c r="A25" s="2" t="str">
        <x:v>CP-024</x:v>
      </x:c>
      <x:c r="B25" s="2" t="str">
        <x:v>RF-024</x:v>
      </x:c>
      <x:c r="C25" s="2" t="str">
        <x:v>Descuento stock por venta</x:v>
      </x:c>
      <x:c r="D25" s="2" t="str">
        <x:v>Integración / regla de negocio</x:v>
      </x:c>
      <x:c r="E25" s="2" t="str">
        <x:v>Venta con producto y cantidad válida</x:v>
      </x:c>
      <x:c r="F25" s="2" t="str">
        <x:v>1) Preparar datos. 2) Ejecutar operación del módulo. 3) Validar interfaz. 4) Validar persistencia/resultado. 5) Adjuntar evidencia.</x:v>
      </x:c>
      <x:c r="G25" s="2" t="str">
        <x:v>Stock disminuye y queda movimiento de salida</x:v>
      </x:c>
      <x:c r="H25" s="2" t="str">
        <x:v>Pendiente de ejecutar con evidencia real del sistema</x:v>
      </x:c>
      <x:c r="I25" s="2" t="str">
        <x:v>Pendiente de evidencia</x:v>
      </x:c>
      <x:c r="J25" s="2" t="str">
        <x:v>EV-024 Captura stock antes/después</x:v>
      </x:c>
      <x:c r="K25" s="2" t="str">
        <x:v>Debe ejecutarse dentro de transacción lógica para conservar integridad.</x:v>
      </x:c>
    </x:row>
    <x:row r="26">
      <x:c r="A26" s="2" t="str">
        <x:v>CP-025</x:v>
      </x:c>
      <x:c r="B26" s="2" t="str">
        <x:v>RF-025</x:v>
      </x:c>
      <x:c r="C26" s="2" t="str">
        <x:v>Devoluciones</x:v>
      </x:c>
      <x:c r="D26" s="2" t="str">
        <x:v>Caja negra / integración</x:v>
      </x:c>
      <x:c r="E26" s="2" t="str">
        <x:v>Venta, producto, motivo y cantidad</x:v>
      </x:c>
      <x:c r="F26" s="2" t="str">
        <x:v>1) Preparar datos. 2) Ejecutar operación del módulo. 3) Validar interfaz. 4) Validar persistencia/resultado. 5) Adjuntar evidencia.</x:v>
      </x:c>
      <x:c r="G26" s="2" t="str">
        <x:v>Devolución registrada y stock ajustado según política</x:v>
      </x:c>
      <x:c r="H26" s="2" t="str">
        <x:v>Pendiente de ejecutar con evidencia real del sistema</x:v>
      </x:c>
      <x:c r="I26" s="2" t="str">
        <x:v>Diseñado</x:v>
      </x:c>
      <x:c r="J26" s="2" t="str">
        <x:v>EV-025 Captura devolución</x:v>
      </x:c>
      <x:c r="K26" s="2" t="str">
        <x:v>Debe registrar motivo y responsable.</x:v>
      </x:c>
    </x:row>
    <x:row r="27">
      <x:c r="A27" s="2" t="str">
        <x:v>CP-026</x:v>
      </x:c>
      <x:c r="B27" s="2" t="str">
        <x:v>RF-026</x:v>
      </x:c>
      <x:c r="C27" s="2" t="str">
        <x:v>Proveedores</x:v>
      </x:c>
      <x:c r="D27" s="2" t="str">
        <x:v>Caja negra</x:v>
      </x:c>
      <x:c r="E27" s="2" t="str">
        <x:v>RUC/razón social/contacto</x:v>
      </x:c>
      <x:c r="F27" s="2" t="str">
        <x:v>1) Preparar datos. 2) Ejecutar operación del módulo. 3) Validar interfaz. 4) Validar persistencia/resultado. 5) Adjuntar evidencia.</x:v>
      </x:c>
      <x:c r="G27" s="2" t="str">
        <x:v>Proveedor registrado sin duplicidad</x:v>
      </x:c>
      <x:c r="H27" s="2" t="str">
        <x:v>Pendiente de ejecutar con evidencia real del sistema</x:v>
      </x:c>
      <x:c r="I27" s="2" t="str">
        <x:v>Diseñado</x:v>
      </x:c>
      <x:c r="J27" s="2" t="str">
        <x:v>EV-026 Captura proveedor</x:v>
      </x:c>
      <x:c r="K27" s="2" t="str">
        <x:v>Debe validar datos mínimos de contacto.</x:v>
      </x:c>
    </x:row>
    <x:row r="28">
      <x:c r="A28" s="2" t="str">
        <x:v>CP-027</x:v>
      </x:c>
      <x:c r="B28" s="2" t="str">
        <x:v>RF-027</x:v>
      </x:c>
      <x:c r="C28" s="2" t="str">
        <x:v>Compras</x:v>
      </x:c>
      <x:c r="D28" s="2" t="str">
        <x:v>Integración</x:v>
      </x:c>
      <x:c r="E28" s="2" t="str">
        <x:v>Proveedor, productos y cantidades</x:v>
      </x:c>
      <x:c r="F28" s="2" t="str">
        <x:v>1) Preparar datos. 2) Ejecutar operación del módulo. 3) Validar interfaz. 4) Validar persistencia/resultado. 5) Adjuntar evidencia.</x:v>
      </x:c>
      <x:c r="G28" s="2" t="str">
        <x:v>Compra registrada y stock actualizado por entrada</x:v>
      </x:c>
      <x:c r="H28" s="2" t="str">
        <x:v>Pendiente de ejecutar con evidencia real del sistema</x:v>
      </x:c>
      <x:c r="I28" s="2" t="str">
        <x:v>Diseñado</x:v>
      </x:c>
      <x:c r="J28" s="2" t="str">
        <x:v>EV-027 Captura compra y entrada stock</x:v>
      </x:c>
      <x:c r="K28" s="2" t="str">
        <x:v>Debe integrarse con inventario.</x:v>
      </x:c>
    </x:row>
    <x:row r="29">
      <x:c r="A29" s="2" t="str">
        <x:v>CP-028</x:v>
      </x:c>
      <x:c r="B29" s="2" t="str">
        <x:v>RF-028</x:v>
      </x:c>
      <x:c r="C29" s="2" t="str">
        <x:v>Historial cliente</x:v>
      </x:c>
      <x:c r="D29" s="2" t="str">
        <x:v>Caja negra</x:v>
      </x:c>
      <x:c r="E29" s="2" t="str">
        <x:v>Cliente registrado</x:v>
      </x:c>
      <x:c r="F29" s="2" t="str">
        <x:v>1) Preparar datos. 2) Ejecutar operación del módulo. 3) Validar interfaz. 4) Validar persistencia/resultado. 5) Adjuntar evidencia.</x:v>
      </x:c>
      <x:c r="G29" s="2" t="str">
        <x:v>Muestra ventas, pedidos y pagos asociados</x:v>
      </x:c>
      <x:c r="H29" s="2" t="str">
        <x:v>Pendiente de ejecutar con evidencia real del sistema</x:v>
      </x:c>
      <x:c r="I29" s="2" t="str">
        <x:v>Pendiente de evidencia</x:v>
      </x:c>
      <x:c r="J29" s="2" t="str">
        <x:v>EV-028 Captura historial cliente</x:v>
      </x:c>
      <x:c r="K29" s="2" t="str">
        <x:v>Debe respetar permisos según rol.</x:v>
      </x:c>
    </x:row>
    <x:row r="30">
      <x:c r="A30" s="2" t="str">
        <x:v>CP-029</x:v>
      </x:c>
      <x:c r="B30" s="2" t="str">
        <x:v>RF-029</x:v>
      </x:c>
      <x:c r="C30" s="2" t="str">
        <x:v>Reporte ventas</x:v>
      </x:c>
      <x:c r="D30" s="2" t="str">
        <x:v>Caja negra / consulta BD</x:v>
      </x:c>
      <x:c r="E30" s="2" t="str">
        <x:v>Rango de fechas</x:v>
      </x:c>
      <x:c r="F30" s="2" t="str">
        <x:v>1) Preparar datos. 2) Ejecutar operación del módulo. 3) Validar interfaz. 4) Validar persistencia/resultado. 5) Adjuntar evidencia.</x:v>
      </x:c>
      <x:c r="G30" s="2" t="str">
        <x:v>Reporte muestra ventas, totales y cantidades por periodo</x:v>
      </x:c>
      <x:c r="H30" s="2" t="str">
        <x:v>Pendiente de ejecutar con evidencia real del sistema</x:v>
      </x:c>
      <x:c r="I30" s="2" t="str">
        <x:v>Pendiente de evidencia</x:v>
      </x:c>
      <x:c r="J30" s="2" t="str">
        <x:v>EV-029 Captura reporte ventas</x:v>
      </x:c>
      <x:c r="K30" s="2" t="str">
        <x:v>Debe filtrar correctamente por fecha.</x:v>
      </x:c>
    </x:row>
    <x:row r="31">
      <x:c r="A31" s="2" t="str">
        <x:v>CP-030</x:v>
      </x:c>
      <x:c r="B31" s="2" t="str">
        <x:v>RF-030</x:v>
      </x:c>
      <x:c r="C31" s="2" t="str">
        <x:v>Reporte productos</x:v>
      </x:c>
      <x:c r="D31" s="2" t="str">
        <x:v>Caja negra / consulta BD</x:v>
      </x:c>
      <x:c r="E31" s="2" t="str">
        <x:v>Rango de fechas y categoría</x:v>
      </x:c>
      <x:c r="F31" s="2" t="str">
        <x:v>1) Preparar datos. 2) Ejecutar operación del módulo. 3) Validar interfaz. 4) Validar persistencia/resultado. 5) Adjuntar evidencia.</x:v>
      </x:c>
      <x:c r="G31" s="2" t="str">
        <x:v>Reporte ordena productos por cantidad vendida</x:v>
      </x:c>
      <x:c r="H31" s="2" t="str">
        <x:v>Pendiente de ejecutar con evidencia real del sistema</x:v>
      </x:c>
      <x:c r="I31" s="2" t="str">
        <x:v>Pendiente de evidencia</x:v>
      </x:c>
      <x:c r="J31" s="2" t="str">
        <x:v>EV-030 Captura productos más vendidos</x:v>
      </x:c>
      <x:c r="K31" s="2" t="str">
        <x:v>Debe agrupar por producto/SKU.</x:v>
      </x:c>
    </x:row>
    <x:row r="32">
      <x:c r="A32" s="2" t="str">
        <x:v>CP-031</x:v>
      </x:c>
      <x:c r="B32" s="2" t="str">
        <x:v>RF-031</x:v>
      </x:c>
      <x:c r="C32" s="2" t="str">
        <x:v>Reporte stock crítico</x:v>
      </x:c>
      <x:c r="D32" s="2" t="str">
        <x:v>Caja negra</x:v>
      </x:c>
      <x:c r="E32" s="2" t="str">
        <x:v>Consulta de inventario</x:v>
      </x:c>
      <x:c r="F32" s="2" t="str">
        <x:v>1) Preparar datos. 2) Ejecutar operación del módulo. 3) Validar interfaz. 4) Validar persistencia/resultado. 5) Adjuntar evidencia.</x:v>
      </x:c>
      <x:c r="G32" s="2" t="str">
        <x:v>Lista productos con stock &lt;= mínimo</x:v>
      </x:c>
      <x:c r="H32" s="2" t="str">
        <x:v>Pendiente de ejecutar con evidencia real del sistema</x:v>
      </x:c>
      <x:c r="I32" s="2" t="str">
        <x:v>Pendiente de evidencia</x:v>
      </x:c>
      <x:c r="J32" s="2" t="str">
        <x:v>EV-031 Captura stock crítico</x:v>
      </x:c>
      <x:c r="K32" s="2" t="str">
        <x:v>Debe coincidir con alertas de stock mínimo.</x:v>
      </x:c>
    </x:row>
    <x:row r="33">
      <x:c r="A33" s="2" t="str">
        <x:v>CP-032</x:v>
      </x:c>
      <x:c r="B33" s="2" t="str">
        <x:v>RF-032</x:v>
      </x:c>
      <x:c r="C33" s="2" t="str">
        <x:v>Preparación datos IA</x:v>
      </x:c>
      <x:c r="D33" s="2" t="str">
        <x:v>Caja blanca / calidad de datos</x:v>
      </x:c>
      <x:c r="E33" s="2" t="str">
        <x:v>Datos históricos de ventas e inventario</x:v>
      </x:c>
      <x:c r="F33" s="2" t="str">
        <x:v>1) Preparar datos. 2) Ejecutar operación del módulo. 3) Validar interfaz. 4) Validar persistencia/resultado. 5) Adjuntar evidencia.</x:v>
      </x:c>
      <x:c r="G33" s="2" t="str">
        <x:v>Dataset generado sin nulos críticos y con variables requeridas</x:v>
      </x:c>
      <x:c r="H33" s="2" t="str">
        <x:v>Pendiente de ejecutar con evidencia real del sistema</x:v>
      </x:c>
      <x:c r="I33" s="2" t="str">
        <x:v>Pendiente de evidencia</x:v>
      </x:c>
      <x:c r="J33" s="2" t="str">
        <x:v>EV-032 Captura dataset/registro de preparación</x:v>
      </x:c>
      <x:c r="K33" s="2" t="str">
        <x:v>Debe validar completitud, consistencia y rango de variables.</x:v>
      </x:c>
    </x:row>
    <x:row r="34">
      <x:c r="A34" s="2" t="str">
        <x:v>CP-033</x:v>
      </x:c>
      <x:c r="B34" s="2" t="str">
        <x:v>RF-033</x:v>
      </x:c>
      <x:c r="C34" s="2" t="str">
        <x:v>Indicadores riesgo</x:v>
      </x:c>
      <x:c r="D34" s="2" t="str">
        <x:v>Caja blanca / integración</x:v>
      </x:c>
      <x:c r="E34" s="2" t="str">
        <x:v>Ventas, costos, stock y demanda</x:v>
      </x:c>
      <x:c r="F34" s="2" t="str">
        <x:v>1) Preparar datos. 2) Ejecutar operación del módulo. 3) Validar interfaz. 4) Validar persistencia/resultado. 5) Adjuntar evidencia.</x:v>
      </x:c>
      <x:c r="G34" s="2" t="str">
        <x:v>Indicadores calculados correctamente por periodo</x:v>
      </x:c>
      <x:c r="H34" s="2" t="str">
        <x:v>Pendiente de ejecutar con evidencia real del sistema</x:v>
      </x:c>
      <x:c r="I34" s="2" t="str">
        <x:v>Pendiente de evidencia</x:v>
      </x:c>
      <x:c r="J34" s="2" t="str">
        <x:v>EV-033 Captura indicadores o tabla BD</x:v>
      </x:c>
      <x:c r="K34" s="2" t="str">
        <x:v>Debe documentar fórmula de cada indicador.</x:v>
      </x:c>
    </x:row>
    <x:row r="35">
      <x:c r="A35" s="2" t="str">
        <x:v>CP-034</x:v>
      </x:c>
      <x:c r="B35" s="2" t="str">
        <x:v>RF-034</x:v>
      </x:c>
      <x:c r="C35" s="2" t="str">
        <x:v>Predicción IA</x:v>
      </x:c>
      <x:c r="D35" s="2" t="str">
        <x:v>Modelo IA / integración</x:v>
      </x:c>
      <x:c r="E35" s="2" t="str">
        <x:v>Dataset validado e indicadores calculados</x:v>
      </x:c>
      <x:c r="F35" s="2" t="str">
        <x:v>1) Preparar datos. 2) Ejecutar operación del módulo. 3) Validar interfaz. 4) Validar persistencia/resultado. 5) Adjuntar evidencia.</x:v>
      </x:c>
      <x:c r="G35" s="2" t="str">
        <x:v>Se genera predicción con nivel de riesgo y fecha</x:v>
      </x:c>
      <x:c r="H35" s="2" t="str">
        <x:v>Pendiente de ejecutar con evidencia real del sistema</x:v>
      </x:c>
      <x:c r="I35" s="2" t="str">
        <x:v>Pendiente de evidencia</x:v>
      </x:c>
      <x:c r="J35" s="2" t="str">
        <x:v>EV-034 Captura predicción IA</x:v>
      </x:c>
      <x:c r="K35" s="2" t="str">
        <x:v>Debe guardar resultado, versión del modelo y variables usadas.</x:v>
      </x:c>
    </x:row>
    <x:row r="36">
      <x:c r="A36" s="2" t="str">
        <x:v>CP-035</x:v>
      </x:c>
      <x:c r="B36" s="2" t="str">
        <x:v>RF-035</x:v>
      </x:c>
      <x:c r="C36" s="2" t="str">
        <x:v>Dashboard riesgo</x:v>
      </x:c>
      <x:c r="D36" s="2" t="str">
        <x:v>Caja negra / usabilidad</x:v>
      </x:c>
      <x:c r="E36" s="2" t="str">
        <x:v>Predicción existente</x:v>
      </x:c>
      <x:c r="F36" s="2" t="str">
        <x:v>1) Preparar datos. 2) Ejecutar operación del módulo. 3) Validar interfaz. 4) Validar persistencia/resultado. 5) Adjuntar evidencia.</x:v>
      </x:c>
      <x:c r="G36" s="2" t="str">
        <x:v>Dashboard muestra riesgo bajo, medio o alto con explicación</x:v>
      </x:c>
      <x:c r="H36" s="2" t="str">
        <x:v>Pendiente de ejecutar con evidencia real del sistema</x:v>
      </x:c>
      <x:c r="I36" s="2" t="str">
        <x:v>Pendiente de evidencia</x:v>
      </x:c>
      <x:c r="J36" s="2" t="str">
        <x:v>EV-035 Captura dashboard riesgo</x:v>
      </x:c>
      <x:c r="K36" s="2" t="str">
        <x:v>Debe ser entendible para usuario no técnico.</x:v>
      </x:c>
    </x:row>
    <x:row r="37">
      <x:c r="A37" s="2" t="str">
        <x:v>CP-036</x:v>
      </x:c>
      <x:c r="B37" s="2" t="str">
        <x:v>RF-036</x:v>
      </x:c>
      <x:c r="C37" s="2" t="str">
        <x:v>Alertas gerenciales</x:v>
      </x:c>
      <x:c r="D37" s="2" t="str">
        <x:v>Caja negra / regla de negocio</x:v>
      </x:c>
      <x:c r="E37" s="2" t="str">
        <x:v>Riesgo alto o stock crítico</x:v>
      </x:c>
      <x:c r="F37" s="2" t="str">
        <x:v>1) Preparar datos. 2) Ejecutar operación del módulo. 3) Validar interfaz. 4) Validar persistencia/resultado. 5) Adjuntar evidencia.</x:v>
      </x:c>
      <x:c r="G37" s="2" t="str">
        <x:v>Sistema muestra alerta con recomendación básica</x:v>
      </x:c>
      <x:c r="H37" s="2" t="str">
        <x:v>Pendiente de ejecutar con evidencia real del sistema</x:v>
      </x:c>
      <x:c r="I37" s="2" t="str">
        <x:v>Diseñado</x:v>
      </x:c>
      <x:c r="J37" s="2" t="str">
        <x:v>EV-036 Captura alerta gerencial</x:v>
      </x:c>
      <x:c r="K37" s="2" t="str">
        <x:v>Debe diferenciar alerta operativa y alerta analítica.</x:v>
      </x:c>
    </x:row>
    <x:row r="38">
      <x:c r="A38" s="2" t="str">
        <x:v>CP-037</x:v>
      </x:c>
      <x:c r="B38" s="2" t="str">
        <x:v>RF-037</x:v>
      </x:c>
      <x:c r="C38" s="2" t="str">
        <x:v>Auditoría</x:v>
      </x:c>
      <x:c r="D38" s="2" t="str">
        <x:v>Integración / seguridad</x:v>
      </x:c>
      <x:c r="E38" s="2" t="str">
        <x:v>Crear, editar, eliminar, vender, cambiar estado</x:v>
      </x:c>
      <x:c r="F38" s="2" t="str">
        <x:v>1) Preparar datos. 2) Ejecutar operación del módulo. 3) Validar interfaz. 4) Validar persistencia/resultado. 5) Adjuntar evidencia.</x:v>
      </x:c>
      <x:c r="G38" s="2" t="str">
        <x:v>Acción queda registrada con usuario, fecha, módulo y detalle</x:v>
      </x:c>
      <x:c r="H38" s="2" t="str">
        <x:v>Pendiente de ejecutar con evidencia real del sistema</x:v>
      </x:c>
      <x:c r="I38" s="2" t="str">
        <x:v>Pendiente de evidencia</x:v>
      </x:c>
      <x:c r="J38" s="2" t="str">
        <x:v>EV-037 Captura auditoría</x:v>
      </x:c>
      <x:c r="K38" s="2" t="str">
        <x:v>Debe registrar operaciones críticas sin afectar rendimiento.</x:v>
      </x:c>
    </x:row>
    <x:row r="39">
      <x:c r="A39" s="2" t="str">
        <x:v>CP-038</x:v>
      </x:c>
      <x:c r="B39" s="2" t="str">
        <x:v>RF-038</x:v>
      </x:c>
      <x:c r="C39" s="2" t="str">
        <x:v>Exportación reportes</x:v>
      </x:c>
      <x:c r="D39" s="2" t="str">
        <x:v>Caja negra</x:v>
      </x:c>
      <x:c r="E39" s="2" t="str">
        <x:v>Reporte seleccionado y formato</x:v>
      </x:c>
      <x:c r="F39" s="2" t="str">
        <x:v>1) Preparar datos. 2) Ejecutar operación del módulo. 3) Validar interfaz. 4) Validar persistencia/resultado. 5) Adjuntar evidencia.</x:v>
      </x:c>
      <x:c r="G39" s="2" t="str">
        <x:v>Archivo exportado en formato permitido</x:v>
      </x:c>
      <x:c r="H39" s="2" t="str">
        <x:v>Pendiente de ejecutar con evidencia real del sistema</x:v>
      </x:c>
      <x:c r="I39" s="2" t="str">
        <x:v>Diseñado</x:v>
      </x:c>
      <x:c r="J39" s="2" t="str">
        <x:v>EV-038 Archivo exportado y captura</x:v>
      </x:c>
      <x:c r="K39" s="2" t="str">
        <x:v>Debe respetar permisos y no exponer datos sensibles.</x:v>
      </x:c>
    </x:row>
    <x:row r="40">
      <x:c r="A40" s="2" t="str">
        <x:v>CP-039</x:v>
      </x:c>
      <x:c r="B40" s="2" t="str">
        <x:v>RF-039</x:v>
      </x:c>
      <x:c r="C40" s="2" t="str">
        <x:v>Respaldo lógico</x:v>
      </x:c>
      <x:c r="D40" s="2" t="str">
        <x:v>Operacional / seguridad</x:v>
      </x:c>
      <x:c r="E40" s="2" t="str">
        <x:v>Solicitud de respaldo autorizado</x:v>
      </x:c>
      <x:c r="F40" s="2" t="str">
        <x:v>1) Preparar datos. 2) Ejecutar operación del módulo. 3) Validar interfaz. 4) Validar persistencia/resultado. 5) Adjuntar evidencia.</x:v>
      </x:c>
      <x:c r="G40" s="2" t="str">
        <x:v>Se genera respaldo o archivo exportable de datos críticos</x:v>
      </x:c>
      <x:c r="H40" s="2" t="str">
        <x:v>Pendiente de ejecutar con evidencia real del sistema</x:v>
      </x:c>
      <x:c r="I40" s="2" t="str">
        <x:v>Diseñado</x:v>
      </x:c>
      <x:c r="J40" s="2" t="str">
        <x:v>EV-039 Captura o archivo respaldo</x:v>
      </x:c>
      <x:c r="K40" s="2" t="str">
        <x:v>Debe restringirse solo a administrador.</x:v>
      </x:c>
    </x:row>
    <x:row r="41">
      <x:c r="A41" s="2" t="str">
        <x:v>CP-040</x:v>
      </x:c>
      <x:c r="B41" s="2" t="str">
        <x:v>RF-040</x:v>
      </x:c>
      <x:c r="C41" s="2" t="str">
        <x:v>Datos maestros</x:v>
      </x:c>
      <x:c r="D41" s="2" t="str">
        <x:v>Caja negra</x:v>
      </x:c>
      <x:c r="E41" s="2" t="str">
        <x:v>Nuevo dato maestro</x:v>
      </x:c>
      <x:c r="F41" s="2" t="str">
        <x:v>1) Preparar datos. 2) Ejecutar operación del módulo. 3) Validar interfaz. 4) Validar persistencia/resultado. 5) Adjuntar evidencia.</x:v>
      </x:c>
      <x:c r="G41" s="2" t="str">
        <x:v>Dato maestro disponible para productos o ventas</x:v>
      </x:c>
      <x:c r="H41" s="2" t="str">
        <x:v>Pendiente de ejecutar con evidencia real del sistema</x:v>
      </x:c>
      <x:c r="I41" s="2" t="str">
        <x:v>Diseñado</x:v>
      </x:c>
      <x:c r="J41" s="2" t="str">
        <x:v>EV-040 Captura configuración</x:v>
      </x:c>
      <x:c r="K41" s="2" t="str">
        <x:v>Debe evitar duplicidad en datos maestros.</x:v>
      </x:c>
    </x:row>
    <x:row r="42">
      <x:c r="A42" s="2" t="str">
        <x:v>CP-041</x:v>
      </x:c>
      <x:c r="B42" s="2" t="str">
        <x:v>RF-041</x:v>
      </x:c>
      <x:c r="C42" s="2" t="str">
        <x:v>Validación datos IA</x:v>
      </x:c>
      <x:c r="D42" s="2" t="str">
        <x:v>Calidad de datos / IA</x:v>
      </x:c>
      <x:c r="E42" s="2" t="str">
        <x:v>Dataset con y sin campos incompletos</x:v>
      </x:c>
      <x:c r="F42" s="2" t="str">
        <x:v>1) Preparar datos. 2) Ejecutar operación del módulo. 3) Validar interfaz. 4) Validar persistencia/resultado. 5) Adjuntar evidencia.</x:v>
      </x:c>
      <x:c r="G42" s="2" t="str">
        <x:v>Sistema informa completitud, consistencia y observaciones</x:v>
      </x:c>
      <x:c r="H42" s="2" t="str">
        <x:v>Pendiente de ejecutar con evidencia real del sistema</x:v>
      </x:c>
      <x:c r="I42" s="2" t="str">
        <x:v>Pendiente de evidencia</x:v>
      </x:c>
      <x:c r="J42" s="2" t="str">
        <x:v>EV-041 Captura validación de datos</x:v>
      </x:c>
      <x:c r="K42" s="2" t="str">
        <x:v>Debe bloquear o advertir predicciones con datos insuficientes.</x:v>
      </x:c>
    </x:row>
    <x:row r="43">
      <x:c r="A43" s="2" t="str">
        <x:v>CP-042</x:v>
      </x:c>
      <x:c r="B43" s="2" t="str">
        <x:v>RF-042</x:v>
      </x:c>
      <x:c r="C43" s="2" t="str">
        <x:v>Parámetros sistema</x:v>
      </x:c>
      <x:c r="D43" s="2" t="str">
        <x:v>Caja negra / configuración</x:v>
      </x:c>
      <x:c r="E43" s="2" t="str">
        <x:v>Umbrales de riesgo, stock mínimo o parámetros autorizados</x:v>
      </x:c>
      <x:c r="F43" s="2" t="str">
        <x:v>1) Preparar datos. 2) Ejecutar operación del módulo. 3) Validar interfaz. 4) Validar persistencia/resultado. 5) Adjuntar evidencia.</x:v>
      </x:c>
      <x:c r="G43" s="2" t="str">
        <x:v>Parámetro se actualiza y afecta reglas correspondientes</x:v>
      </x:c>
      <x:c r="H43" s="2" t="str">
        <x:v>Pendiente de ejecutar con evidencia real del sistema</x:v>
      </x:c>
      <x:c r="I43" s="2" t="str">
        <x:v>Diseñado</x:v>
      </x:c>
      <x:c r="J43" s="2" t="str">
        <x:v>EV-042 Captura parámetros actualizados</x:v>
      </x:c>
      <x:c r="K43" s="2" t="str">
        <x:v>Debe registrar auditoría de cambios de parámetros.</x:v>
      </x:c>
    </x:row>
    <x:row r="44">
      <x:c r="A44" s="2" t="str">
        <x:v>CP-043</x:v>
      </x:c>
      <x:c r="B44" s="2" t="str">
        <x:v>RNF-001</x:v>
      </x:c>
      <x:c r="C44" s="2" t="str">
        <x:v>Seguridad / autenticación</x:v>
      </x:c>
      <x:c r="D44" s="2" t="str">
        <x:v>Seguridad / caja negra</x:v>
      </x:c>
      <x:c r="E44" s="2" t="str">
        <x:v>Acceso con y sin sesión</x:v>
      </x:c>
      <x:c r="F44" s="2" t="str">
        <x:v>1) Preparar datos. 2) Ejecutar operación del módulo. 3) Validar interfaz. 4) Validar persistencia/resultado. 5) Adjuntar evidencia.</x:v>
      </x:c>
      <x:c r="G44" s="2" t="str">
        <x:v>Sin sesión no accede; con sesión válida accede</x:v>
      </x:c>
      <x:c r="H44" s="2" t="str">
        <x:v>Pendiente de ejecutar con evidencia real del sistema</x:v>
      </x:c>
      <x:c r="I44" s="2" t="str">
        <x:v>Pendiente de evidencia</x:v>
      </x:c>
      <x:c r="J44" s="2" t="str">
        <x:v>EV-043 Captura ruta protegida</x:v>
      </x:c>
      <x:c r="K44" s="2" t="str">
        <x:v>Debe impedir acceso directo por URL.</x:v>
      </x:c>
    </x:row>
    <x:row r="45">
      <x:c r="A45" s="2" t="str">
        <x:v>CP-044</x:v>
      </x:c>
      <x:c r="B45" s="2" t="str">
        <x:v>RNF-002</x:v>
      </x:c>
      <x:c r="C45" s="2" t="str">
        <x:v>Control de acceso</x:v>
      </x:c>
      <x:c r="D45" s="2" t="str">
        <x:v>Seguridad / autorización</x:v>
      </x:c>
      <x:c r="E45" s="2" t="str">
        <x:v>Usuarios con roles distintos</x:v>
      </x:c>
      <x:c r="F45" s="2" t="str">
        <x:v>1) Preparar datos. 2) Ejecutar operación del módulo. 3) Validar interfaz. 4) Validar persistencia/resultado. 5) Adjuntar evidencia.</x:v>
      </x:c>
      <x:c r="G45" s="2" t="str">
        <x:v>Cada rol visualiza solo módulos autorizados</x:v>
      </x:c>
      <x:c r="H45" s="2" t="str">
        <x:v>Pendiente de ejecutar con evidencia real del sistema</x:v>
      </x:c>
      <x:c r="I45" s="2" t="str">
        <x:v>Pendiente de evidencia</x:v>
      </x:c>
      <x:c r="J45" s="2" t="str">
        <x:v>EV-044 Capturas por rol</x:v>
      </x:c>
      <x:c r="K45" s="2" t="str">
        <x:v>Debe aplicar control en frontend y backend.</x:v>
      </x:c>
    </x:row>
    <x:row r="46">
      <x:c r="A46" s="2" t="str">
        <x:v>CP-045</x:v>
      </x:c>
      <x:c r="B46" s="2" t="str">
        <x:v>RNF-003</x:v>
      </x:c>
      <x:c r="C46" s="2" t="str">
        <x:v>Integridad de datos</x:v>
      </x:c>
      <x:c r="D46" s="2" t="str">
        <x:v>Integración / integridad</x:v>
      </x:c>
      <x:c r="E46" s="2" t="str">
        <x:v>Venta confirmada</x:v>
      </x:c>
      <x:c r="F46" s="2" t="str">
        <x:v>1) Preparar datos. 2) Ejecutar operación del módulo. 3) Validar interfaz. 4) Validar persistencia/resultado. 5) Adjuntar evidencia.</x:v>
      </x:c>
      <x:c r="G46" s="2" t="str">
        <x:v>La venta y descuento de stock quedan consistentes</x:v>
      </x:c>
      <x:c r="H46" s="2" t="str">
        <x:v>Pendiente de ejecutar con evidencia real del sistema</x:v>
      </x:c>
      <x:c r="I46" s="2" t="str">
        <x:v>Pendiente de evidencia</x:v>
      </x:c>
      <x:c r="J46" s="2" t="str">
        <x:v>EV-045 Captura BD venta/inventario</x:v>
      </x:c>
      <x:c r="K46" s="2" t="str">
        <x:v>No debe quedar venta sin detalle ni stock sin movimiento.</x:v>
      </x:c>
    </x:row>
    <x:row r="47">
      <x:c r="A47" s="2" t="str">
        <x:v>CP-046</x:v>
      </x:c>
      <x:c r="B47" s="2" t="str">
        <x:v>RNF-004</x:v>
      </x:c>
      <x:c r="C47" s="2" t="str">
        <x:v>Usabilidad</x:v>
      </x:c>
      <x:c r="D47" s="2" t="str">
        <x:v>Usabilidad</x:v>
      </x:c>
      <x:c r="E47" s="2" t="str">
        <x:v>Encuesta o lista de cotejo</x:v>
      </x:c>
      <x:c r="F47" s="2" t="str">
        <x:v>1) Preparar datos. 2) Ejecutar operación del módulo. 3) Validar interfaz. 4) Validar persistencia/resultado. 5) Adjuntar evidencia.</x:v>
      </x:c>
      <x:c r="G47" s="2" t="str">
        <x:v>Usuarios califican navegación como comprensible</x:v>
      </x:c>
      <x:c r="H47" s="2" t="str">
        <x:v>Pendiente de ejecutar con evidencia real del sistema</x:v>
      </x:c>
      <x:c r="I47" s="2" t="str">
        <x:v>Diseñado</x:v>
      </x:c>
      <x:c r="J47" s="2" t="str">
        <x:v>EV-046 Encuesta de usabilidad</x:v>
      </x:c>
      <x:c r="K47" s="2" t="str">
        <x:v>Debe evaluarse con escala Likert o lista de cotejo.</x:v>
      </x:c>
    </x:row>
    <x:row r="48">
      <x:c r="A48" s="2" t="str">
        <x:v>CP-047</x:v>
      </x:c>
      <x:c r="B48" s="2" t="str">
        <x:v>RNF-005</x:v>
      </x:c>
      <x:c r="C48" s="2" t="str">
        <x:v>Rendimiento</x:v>
      </x:c>
      <x:c r="D48" s="2" t="str">
        <x:v>Rendimiento</x:v>
      </x:c>
      <x:c r="E48" s="2" t="str">
        <x:v>Login, listado productos, venta y reporte</x:v>
      </x:c>
      <x:c r="F48" s="2" t="str">
        <x:v>1) Preparar datos. 2) Ejecutar operación del módulo. 3) Validar interfaz. 4) Validar persistencia/resultado. 5) Adjuntar evidencia.</x:v>
      </x:c>
      <x:c r="G48" s="2" t="str">
        <x:v>Operaciones críticas responden en tiempo aceptable definido en tesis</x:v>
      </x:c>
      <x:c r="H48" s="2" t="str">
        <x:v>Pendiente de ejecutar con evidencia real del sistema</x:v>
      </x:c>
      <x:c r="I48" s="2" t="str">
        <x:v>Diseñado</x:v>
      </x:c>
      <x:c r="J48" s="2" t="str">
        <x:v>EV-047 Registro de tiempos</x:v>
      </x:c>
      <x:c r="K48" s="2" t="str">
        <x:v>Definir umbral medible según ambiente de prueba.</x:v>
      </x:c>
    </x:row>
    <x:row r="49">
      <x:c r="A49" s="2" t="str">
        <x:v>CP-048</x:v>
      </x:c>
      <x:c r="B49" s="2" t="str">
        <x:v>RNF-006</x:v>
      </x:c>
      <x:c r="C49" s="2" t="str">
        <x:v>Disponibilidad</x:v>
      </x:c>
      <x:c r="D49" s="2" t="str">
        <x:v>Disponibilidad</x:v>
      </x:c>
      <x:c r="E49" s="2" t="str">
        <x:v>Acceso al sistema en horario de prueba</x:v>
      </x:c>
      <x:c r="F49" s="2" t="str">
        <x:v>1) Preparar datos. 2) Ejecutar operación del módulo. 3) Validar interfaz. 4) Validar persistencia/resultado. 5) Adjuntar evidencia.</x:v>
      </x:c>
      <x:c r="G49" s="2" t="str">
        <x:v>Sistema accesible sin error de servicio</x:v>
      </x:c>
      <x:c r="H49" s="2" t="str">
        <x:v>Pendiente de ejecutar con evidencia real del sistema</x:v>
      </x:c>
      <x:c r="I49" s="2" t="str">
        <x:v>Diseñado</x:v>
      </x:c>
      <x:c r="J49" s="2" t="str">
        <x:v>EV-048 Captura URL funcionando</x:v>
      </x:c>
      <x:c r="K49" s="2" t="str">
        <x:v>Puede validarse en entorno local o desplegado.</x:v>
      </x:c>
    </x:row>
    <x:row r="50">
      <x:c r="A50" s="2" t="str">
        <x:v>CP-049</x:v>
      </x:c>
      <x:c r="B50" s="2" t="str">
        <x:v>RNF-007</x:v>
      </x:c>
      <x:c r="C50" s="2" t="str">
        <x:v>Mantenibilidad</x:v>
      </x:c>
      <x:c r="D50" s="2" t="str">
        <x:v>Revisión técnica</x:v>
      </x:c>
      <x:c r="E50" s="2" t="str">
        <x:v>Árbol de carpetas y componentes</x:v>
      </x:c>
      <x:c r="F50" s="2" t="str">
        <x:v>1) Preparar datos. 2) Ejecutar operación del módulo. 3) Validar interfaz. 4) Validar persistencia/resultado. 5) Adjuntar evidencia.</x:v>
      </x:c>
      <x:c r="G50" s="2" t="str">
        <x:v>Estructura modular y nombres coherentes</x:v>
      </x:c>
      <x:c r="H50" s="2" t="str">
        <x:v>Pendiente de ejecutar con evidencia real del sistema</x:v>
      </x:c>
      <x:c r="I50" s="2" t="str">
        <x:v>Diseñado</x:v>
      </x:c>
      <x:c r="J50" s="2" t="str">
        <x:v>EV-049 Captura estructura de proyecto</x:v>
      </x:c>
      <x:c r="K50" s="2" t="str">
        <x:v>Requiere repositorio o ZIP del código para validación real.</x:v>
      </x:c>
    </x:row>
    <x:row r="51">
      <x:c r="A51" s="2" t="str">
        <x:v>CP-050</x:v>
      </x:c>
      <x:c r="B51" s="2" t="str">
        <x:v>RNF-008</x:v>
      </x:c>
      <x:c r="C51" s="2" t="str">
        <x:v>Trazabilidad / auditoría</x:v>
      </x:c>
      <x:c r="D51" s="2" t="str">
        <x:v>Seguridad / auditoría</x:v>
      </x:c>
      <x:c r="E51" s="2" t="str">
        <x:v>Crear, editar, vender, cambiar estado</x:v>
      </x:c>
      <x:c r="F51" s="2" t="str">
        <x:v>1) Preparar datos. 2) Ejecutar operación del módulo. 3) Validar interfaz. 4) Validar persistencia/resultado. 5) Adjuntar evidencia.</x:v>
      </x:c>
      <x:c r="G51" s="2" t="str">
        <x:v>Cada acción crítica genera registro auditable</x:v>
      </x:c>
      <x:c r="H51" s="2" t="str">
        <x:v>Pendiente de ejecutar con evidencia real del sistema</x:v>
      </x:c>
      <x:c r="I51" s="2" t="str">
        <x:v>Pendiente de evidencia</x:v>
      </x:c>
      <x:c r="J51" s="2" t="str">
        <x:v>EV-050 Tabla auditoría</x:v>
      </x:c>
      <x:c r="K51" s="2" t="str">
        <x:v>Debe incluir usuario, acción, módulo, fecha y detalle.</x:v>
      </x:c>
    </x:row>
    <x:row r="52">
      <x:c r="A52" s="2" t="str">
        <x:v>CP-051</x:v>
      </x:c>
      <x:c r="B52" s="2" t="str">
        <x:v>RNF-009</x:v>
      </x:c>
      <x:c r="C52" s="2" t="str">
        <x:v>Calidad de datos IA</x:v>
      </x:c>
      <x:c r="D52" s="2" t="str">
        <x:v>Calidad de datos / IA</x:v>
      </x:c>
      <x:c r="E52" s="2" t="str">
        <x:v>Dataset con nulos y valores válidos</x:v>
      </x:c>
      <x:c r="F52" s="2" t="str">
        <x:v>1) Preparar datos. 2) Ejecutar operación del módulo. 3) Validar interfaz. 4) Validar persistencia/resultado. 5) Adjuntar evidencia.</x:v>
      </x:c>
      <x:c r="G52" s="2" t="str">
        <x:v>Sistema identifica datos insuficientes o inconsistentes</x:v>
      </x:c>
      <x:c r="H52" s="2" t="str">
        <x:v>Pendiente de ejecutar con evidencia real del sistema</x:v>
      </x:c>
      <x:c r="I52" s="2" t="str">
        <x:v>Pendiente de evidencia</x:v>
      </x:c>
      <x:c r="J52" s="2" t="str">
        <x:v>EV-051 Reporte calidad datos</x:v>
      </x:c>
      <x:c r="K52" s="2" t="str">
        <x:v>Debe documentarse la fuente y limpieza de datos.</x:v>
      </x:c>
    </x:row>
    <x:row r="53">
      <x:c r="A53" s="2" t="str">
        <x:v>CP-052</x:v>
      </x:c>
      <x:c r="B53" s="2" t="str">
        <x:v>RNF-010</x:v>
      </x:c>
      <x:c r="C53" s="2" t="str">
        <x:v>Interpretabilidad</x:v>
      </x:c>
      <x:c r="D53" s="2" t="str">
        <x:v>Usabilidad / IA</x:v>
      </x:c>
      <x:c r="E53" s="2" t="str">
        <x:v>Riesgo bajo, medio y alto</x:v>
      </x:c>
      <x:c r="F53" s="2" t="str">
        <x:v>1) Preparar datos. 2) Ejecutar operación del módulo. 3) Validar interfaz. 4) Validar persistencia/resultado. 5) Adjuntar evidencia.</x:v>
      </x:c>
      <x:c r="G53" s="2" t="str">
        <x:v>Dashboard muestra nivel, causa e interpretación básica</x:v>
      </x:c>
      <x:c r="H53" s="2" t="str">
        <x:v>Pendiente de ejecutar con evidencia real del sistema</x:v>
      </x:c>
      <x:c r="I53" s="2" t="str">
        <x:v>Pendiente de evidencia</x:v>
      </x:c>
      <x:c r="J53" s="2" t="str">
        <x:v>EV-052 Captura explicación riesgo</x:v>
      </x:c>
      <x:c r="K53" s="2" t="str">
        <x:v>El sistema debe apoyar la decisión, no automatizarla sin criterio humano.</x:v>
      </x:c>
    </x:row>
    <x:row r="54">
      <x:c r="A54" s="2" t="str">
        <x:v>CP-053</x:v>
      </x:c>
      <x:c r="B54" s="2" t="str">
        <x:v>RNF-011</x:v>
      </x:c>
      <x:c r="C54" s="2" t="str">
        <x:v>Escalabilidad / modularidad</x:v>
      </x:c>
      <x:c r="D54" s="2" t="str">
        <x:v>Revisión técnica</x:v>
      </x:c>
      <x:c r="E54" s="2" t="str">
        <x:v>Estructura proyecto y dependencias</x:v>
      </x:c>
      <x:c r="F54" s="2" t="str">
        <x:v>1) Preparar datos. 2) Ejecutar operación del módulo. 3) Validar interfaz. 4) Validar persistencia/resultado. 5) Adjuntar evidencia.</x:v>
      </x:c>
      <x:c r="G54" s="2" t="str">
        <x:v>Se identifican capas/módulos desacoplados</x:v>
      </x:c>
      <x:c r="H54" s="2" t="str">
        <x:v>Pendiente de ejecutar con evidencia real del sistema</x:v>
      </x:c>
      <x:c r="I54" s="2" t="str">
        <x:v>Diseñado</x:v>
      </x:c>
      <x:c r="J54" s="2" t="str">
        <x:v>EV-053 Diagrama/captura arquitectura</x:v>
      </x:c>
      <x:c r="K54" s="2" t="str">
        <x:v>Requiere revisión del repositorio para validación real.</x:v>
      </x:c>
    </x:row>
    <x:row r="55">
      <x:c r="A55" s="2" t="str">
        <x:v>CP-054</x:v>
      </x:c>
      <x:c r="B55" s="2" t="str">
        <x:v>RNF-012</x:v>
      </x:c>
      <x:c r="C55" s="2" t="str">
        <x:v>Respaldo</x:v>
      </x:c>
      <x:c r="D55" s="2" t="str">
        <x:v>Operacional</x:v>
      </x:c>
      <x:c r="E55" s="2" t="str">
        <x:v>Solicitud de respaldo autorizada</x:v>
      </x:c>
      <x:c r="F55" s="2" t="str">
        <x:v>1) Preparar datos. 2) Ejecutar operación del módulo. 3) Validar interfaz. 4) Validar persistencia/resultado. 5) Adjuntar evidencia.</x:v>
      </x:c>
      <x:c r="G55" s="2" t="str">
        <x:v>Sistema genera respaldo o exportación controlada</x:v>
      </x:c>
      <x:c r="H55" s="2" t="str">
        <x:v>Pendiente de ejecutar con evidencia real del sistema</x:v>
      </x:c>
      <x:c r="I55" s="2" t="str">
        <x:v>Diseñado</x:v>
      </x:c>
      <x:c r="J55" s="2" t="str">
        <x:v>EV-054 Archivo respaldo</x:v>
      </x:c>
      <x:c r="K55" s="2" t="str">
        <x:v>Debe restringirse a administrador.</x:v>
      </x:c>
    </x:row>
    <x:row r="56">
      <x:c r="A56" s="2" t="str">
        <x:v>CP-055</x:v>
      </x:c>
      <x:c r="B56" s="2" t="str">
        <x:v>RNF-013</x:v>
      </x:c>
      <x:c r="C56" s="2" t="str">
        <x:v>Privacidad / seguridad</x:v>
      </x:c>
      <x:c r="D56" s="2" t="str">
        <x:v>Seguridad</x:v>
      </x:c>
      <x:c r="E56" s="2" t="str">
        <x:v>Intento de acceso no autorizado</x:v>
      </x:c>
      <x:c r="F56" s="2" t="str">
        <x:v>1) Preparar datos. 2) Ejecutar operación del módulo. 3) Validar interfaz. 4) Validar persistencia/resultado. 5) Adjuntar evidencia.</x:v>
      </x:c>
      <x:c r="G56" s="2" t="str">
        <x:v>El sistema bloquea acceso y no muestra datos sensibles</x:v>
      </x:c>
      <x:c r="H56" s="2" t="str">
        <x:v>Pendiente de ejecutar con evidencia real del sistema</x:v>
      </x:c>
      <x:c r="I56" s="2" t="str">
        <x:v>Diseñado</x:v>
      </x:c>
      <x:c r="J56" s="2" t="str">
        <x:v>EV-055 Captura acceso denegado</x:v>
      </x:c>
      <x:c r="K56" s="2" t="str">
        <x:v>Debe revisarse también en API, no solo en interfaz.</x:v>
      </x:c>
    </x:row>
    <x:row r="57">
      <x:c r="A57" s="2" t="str">
        <x:v>CP-056</x:v>
      </x:c>
      <x:c r="B57" s="2" t="str">
        <x:v>RNF-014</x:v>
      </x:c>
      <x:c r="C57" s="2" t="str">
        <x:v>Gobernanza del modelo IA</x:v>
      </x:c>
      <x:c r="D57" s="2" t="str">
        <x:v>IA / trazabilidad modelo</x:v>
      </x:c>
      <x:c r="E57" s="2" t="str">
        <x:v>Ejecución de predicción</x:v>
      </x:c>
      <x:c r="F57" s="2" t="str">
        <x:v>1) Preparar datos. 2) Ejecutar operación del módulo. 3) Validar interfaz. 4) Validar persistencia/resultado. 5) Adjuntar evidencia.</x:v>
      </x:c>
      <x:c r="G57" s="2" t="str">
        <x:v>Resultado guarda versión, variables y fecha</x:v>
      </x:c>
      <x:c r="H57" s="2" t="str">
        <x:v>Pendiente de ejecutar con evidencia real del sistema</x:v>
      </x:c>
      <x:c r="I57" s="2" t="str">
        <x:v>Diseñado</x:v>
      </x:c>
      <x:c r="J57" s="2" t="str">
        <x:v>EV-056 Registro predicción con versión</x:v>
      </x:c>
      <x:c r="K57" s="2" t="str">
        <x:v>Necesario para reproducibilidad y defensa técnica.</x:v>
      </x:c>
    </x:row>
  </x:sheetData>
  <x:pageMargins left="0.7" right="0.7" top="0.75" bottom="0.75" header="0.3" footer="0.3"/>
  <x:tableParts count="1">
    <x:tablePart xmlns:r="http://schemas.openxmlformats.org/officeDocument/2006/relationships" r:id="R3f8bea77f5a04d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36" hidden="0" customWidth="1"/>
    <x:col min="5" max="5" width="48" hidden="0" customWidth="1"/>
    <x:col min="6" max="6" width="45" hidden="0" customWidth="1"/>
    <x:col min="7" max="7" width="28" hidden="0" customWidth="1"/>
    <x:col min="8" max="8" width="35" hidden="0" customWidth="1"/>
    <x:col min="9" max="9" width="40" hidden="0" customWidth="1"/>
  </x:cols>
  <x:sheetData>
    <x:row r="1">
      <x:c r="A1" s="52" t="str">
        <x:v>Código revisión</x:v>
      </x:c>
      <x:c r="B1" s="52" t="str">
        <x:v>Requisito</x:v>
      </x:c>
      <x:c r="C1" s="52" t="str">
        <x:v>Elemento técnico esperado</x:v>
      </x:c>
      <x:c r="D1" s="52" t="str">
        <x:v>Ruta/Archivo esperado</x:v>
      </x:c>
      <x:c r="E1" s="52" t="str">
        <x:v>Qué debe verificarse en código</x:v>
      </x:c>
      <x:c r="F1" s="52" t="str">
        <x:v>Criterio de aprobación</x:v>
      </x:c>
      <x:c r="G1" s="52" t="str">
        <x:v>Estado revisión</x:v>
      </x:c>
      <x:c r="H1" s="52" t="str">
        <x:v>Evidencia requerida</x:v>
      </x:c>
      <x:c r="I1" s="52" t="str">
        <x:v>Observación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RC-001</x:v>
      </x:c>
      <x:c r="B2" s="2" t="str">
        <x:v>RF-002</x:v>
      </x:c>
      <x:c r="C2" s="2" t="str">
        <x:v>Login</x:v>
      </x:c>
      <x:c r="D2" s="2" t="str">
        <x:v>src/pages/Login.tsx; auth.service.ts</x:v>
      </x:c>
      <x:c r="E2" s="2" t="str">
        <x:v>Verificar que el archivo/servicio implemente: El sistema debe permitir iniciar sesión mediante correo y contraseña válidos.</x:v>
      </x:c>
      <x:c r="F2" s="2" t="str">
        <x:v>Debe proteger rutas internas y registrar sesión del usuario autenticado.</x:v>
      </x:c>
      <x:c r="G2" s="2" t="str">
        <x:v>Pendiente de repositorio/código fuente</x:v>
      </x:c>
      <x:c r="H2" s="2" t="str">
        <x:v>Captura del código, commit o archivo fuente relacionado con RF-002</x:v>
      </x:c>
      <x:c r="I2" s="2" t="str">
        <x:v>No se debe marcar como verificado hasta revisar el repositorio o ZIP del proyecto.</x:v>
      </x:c>
    </x:row>
    <x:row r="3">
      <x:c r="A3" s="2" t="str">
        <x:v>RC-002</x:v>
      </x:c>
      <x:c r="B3" s="2" t="str">
        <x:v>RF-003</x:v>
      </x:c>
      <x:c r="C3" s="2" t="str">
        <x:v>Gestión de usuarios</x:v>
      </x:c>
      <x:c r="D3" s="2" t="str">
        <x:v>src/pages/admin/Usuarios.tsx; user.controller.ts</x:v>
      </x:c>
      <x:c r="E3" s="2" t="str">
        <x:v>Verificar que el archivo/servicio implemente: El sistema debe permitir registrar usuarios internos con rol asignado.</x:v>
      </x:c>
      <x:c r="F3" s="2" t="str">
        <x:v>Debe validar campos obligatorios, rol permitido y duplicidad.</x:v>
      </x:c>
      <x:c r="G3" s="2" t="str">
        <x:v>Pendiente de repositorio/código fuente</x:v>
      </x:c>
      <x:c r="H3" s="2" t="str">
        <x:v>Captura del código, commit o archivo fuente relacionado con RF-003</x:v>
      </x:c>
      <x:c r="I3" s="2" t="str">
        <x:v>No se debe marcar como verificado hasta revisar el repositorio o ZIP del proyecto.</x:v>
      </x:c>
    </x:row>
    <x:row r="4">
      <x:c r="A4" s="2" t="str">
        <x:v>RC-003</x:v>
      </x:c>
      <x:c r="B4" s="2" t="str">
        <x:v>RF-004</x:v>
      </x:c>
      <x:c r="C4" s="2" t="str">
        <x:v>Gestión de usuarios</x:v>
      </x:c>
      <x:c r="D4" s="2" t="str">
        <x:v>src/pages/admin/Usuarios.tsx; user.controller.ts</x:v>
      </x:c>
      <x:c r="E4" s="2" t="str">
        <x:v>Verificar que el archivo/servicio implemente: El sistema debe permitir editar, consultar, activar o desactivar usuarios internos.</x:v>
      </x:c>
      <x:c r="F4" s="2" t="str">
        <x:v>Debe aplicar eliminación lógica y registrar auditoría.</x:v>
      </x:c>
      <x:c r="G4" s="2" t="str">
        <x:v>Pendiente de repositorio/código fuente</x:v>
      </x:c>
      <x:c r="H4" s="2" t="str">
        <x:v>Captura del código, commit o archivo fuente relacionado con RF-004</x:v>
      </x:c>
      <x:c r="I4" s="2" t="str">
        <x:v>No se debe marcar como verificado hasta revisar el repositorio o ZIP del proyecto.</x:v>
      </x:c>
    </x:row>
    <x:row r="5">
      <x:c r="A5" s="2" t="str">
        <x:v>RC-004</x:v>
      </x:c>
      <x:c r="B5" s="2" t="str">
        <x:v>RF-006</x:v>
      </x:c>
      <x:c r="C5" s="2" t="str">
        <x:v>Formulario producto</x:v>
      </x:c>
      <x:c r="D5" s="2" t="str">
        <x:v>src/pages/admin/Productos.tsx; product.controller.ts</x:v>
      </x:c>
      <x:c r="E5" s="2" t="str">
        <x:v>Verificar que el archivo/servicio implemente: El sistema debe permitir registrar productos de calzado con datos completos.</x:v>
      </x:c>
      <x:c r="F5" s="2" t="str">
        <x:v>Debe exigir campos mínimos y asociar categoría y marca válidas.</x:v>
      </x:c>
      <x:c r="G5" s="2" t="str">
        <x:v>Pendiente de repositorio/código fuente</x:v>
      </x:c>
      <x:c r="H5" s="2" t="str">
        <x:v>Captura del código, commit o archivo fuente relacionado con RF-006</x:v>
      </x:c>
      <x:c r="I5" s="2" t="str">
        <x:v>No se debe marcar como verificado hasta revisar el repositorio o ZIP del proyecto.</x:v>
      </x:c>
    </x:row>
    <x:row r="6">
      <x:c r="A6" s="2" t="str">
        <x:v>RC-005</x:v>
      </x:c>
      <x:c r="B6" s="2" t="str">
        <x:v>RF-007</x:v>
      </x:c>
      <x:c r="C6" s="2" t="str">
        <x:v>Edición producto</x:v>
      </x:c>
      <x:c r="D6" s="2" t="str">
        <x:v>src/pages/admin/Productos.tsx; product.controller.ts</x:v>
      </x:c>
      <x:c r="E6" s="2" t="str">
        <x:v>Verificar que el archivo/servicio implemente: El sistema debe permitir editar información de productos registrados.</x:v>
      </x:c>
      <x:c r="F6" s="2" t="str">
        <x:v>Debe mantener integridad entre producto, inventario y ventas históricas.</x:v>
      </x:c>
      <x:c r="G6" s="2" t="str">
        <x:v>Pendiente de repositorio/código fuente</x:v>
      </x:c>
      <x:c r="H6" s="2" t="str">
        <x:v>Captura del código, commit o archivo fuente relacionado con RF-007</x:v>
      </x:c>
      <x:c r="I6" s="2" t="str">
        <x:v>No se debe marcar como verificado hasta revisar el repositorio o ZIP del proyecto.</x:v>
      </x:c>
    </x:row>
    <x:row r="7">
      <x:c r="A7" s="2" t="str">
        <x:v>RC-006</x:v>
      </x:c>
      <x:c r="B7" s="2" t="str">
        <x:v>RF-009</x:v>
      </x:c>
      <x:c r="C7" s="2" t="str">
        <x:v>Catálogo / filtros</x:v>
      </x:c>
      <x:c r="D7" s="2" t="str">
        <x:v>src/components/ProductFilters.tsx; product.service.ts</x:v>
      </x:c>
      <x:c r="E7" s="2" t="str">
        <x:v>Verificar que el archivo/servicio implemente: El sistema debe permitir clasificar productos por categoría, marca, talla, color y género.</x:v>
      </x:c>
      <x:c r="F7" s="2" t="str">
        <x:v>Debe responder con resultados coherentes y sin datos duplicados.</x:v>
      </x:c>
      <x:c r="G7" s="2" t="str">
        <x:v>Pendiente de repositorio/código fuente</x:v>
      </x:c>
      <x:c r="H7" s="2" t="str">
        <x:v>Captura del código, commit o archivo fuente relacionado con RF-009</x:v>
      </x:c>
      <x:c r="I7" s="2" t="str">
        <x:v>No se debe marcar como verificado hasta revisar el repositorio o ZIP del proyecto.</x:v>
      </x:c>
    </x:row>
    <x:row r="8">
      <x:c r="A8" s="2" t="str">
        <x:v>RC-007</x:v>
      </x:c>
      <x:c r="B8" s="2" t="str">
        <x:v>RF-010</x:v>
      </x:c>
      <x:c r="C8" s="2" t="str">
        <x:v>Entrada inventario</x:v>
      </x:c>
      <x:c r="D8" s="2" t="str">
        <x:v>src/pages/admin/Inventario.tsx; inventory.controller.ts</x:v>
      </x:c>
      <x:c r="E8" s="2" t="str">
        <x:v>Verificar que el archivo/servicio implemente: El sistema debe permitir registrar entrada de mercadería al inventario.</x:v>
      </x:c>
      <x:c r="F8" s="2" t="str">
        <x:v>Toda entrada debe tener responsable, fecha y motivo.</x:v>
      </x:c>
      <x:c r="G8" s="2" t="str">
        <x:v>Pendiente de repositorio/código fuente</x:v>
      </x:c>
      <x:c r="H8" s="2" t="str">
        <x:v>Captura del código, commit o archivo fuente relacionado con RF-010</x:v>
      </x:c>
      <x:c r="I8" s="2" t="str">
        <x:v>No se debe marcar como verificado hasta revisar el repositorio o ZIP del proyecto.</x:v>
      </x:c>
    </x:row>
    <x:row r="9">
      <x:c r="A9" s="2" t="str">
        <x:v>RC-008</x:v>
      </x:c>
      <x:c r="B9" s="2" t="str">
        <x:v>RF-011</x:v>
      </x:c>
      <x:c r="C9" s="2" t="str">
        <x:v>Listado inventario</x:v>
      </x:c>
      <x:c r="D9" s="2" t="str">
        <x:v>src/pages/admin/Inventario.tsx</x:v>
      </x:c>
      <x:c r="E9" s="2" t="str">
        <x:v>Verificar que el archivo/servicio implemente: El sistema debe permitir consultar y controlar el stock disponible por producto.</x:v>
      </x:c>
      <x:c r="F9" s="2" t="str">
        <x:v>El stock debe coincidir con movimientos acumulados.</x:v>
      </x:c>
      <x:c r="G9" s="2" t="str">
        <x:v>Pendiente de repositorio/código fuente</x:v>
      </x:c>
      <x:c r="H9" s="2" t="str">
        <x:v>Captura del código, commit o archivo fuente relacionado con RF-011</x:v>
      </x:c>
      <x:c r="I9" s="2" t="str">
        <x:v>No se debe marcar como verificado hasta revisar el repositorio o ZIP del proyecto.</x:v>
      </x:c>
    </x:row>
    <x:row r="10">
      <x:c r="A10" s="2" t="str">
        <x:v>RC-009</x:v>
      </x:c>
      <x:c r="B10" s="2" t="str">
        <x:v>RF-012</x:v>
      </x:c>
      <x:c r="C10" s="2" t="str">
        <x:v>Alertas de stock</x:v>
      </x:c>
      <x:c r="D10" s="2" t="str">
        <x:v>src/components/StockAlert.tsx; inventory.service.ts</x:v>
      </x:c>
      <x:c r="E10" s="2" t="str">
        <x:v>Verificar que el archivo/servicio implemente: El sistema debe generar alerta cuando un producto alcance o baje del stock mínimo.</x:v>
      </x:c>
      <x:c r="F10" s="2" t="str">
        <x:v>La alerta debe ser visible en inventario o dashboard.</x:v>
      </x:c>
      <x:c r="G10" s="2" t="str">
        <x:v>Pendiente de repositorio/código fuente</x:v>
      </x:c>
      <x:c r="H10" s="2" t="str">
        <x:v>Captura del código, commit o archivo fuente relacionado con RF-012</x:v>
      </x:c>
      <x:c r="I10" s="2" t="str">
        <x:v>No se debe marcar como verificado hasta revisar el repositorio o ZIP del proyecto.</x:v>
      </x:c>
    </x:row>
    <x:row r="11">
      <x:c r="A11" s="2" t="str">
        <x:v>RC-010</x:v>
      </x:c>
      <x:c r="B11" s="2" t="str">
        <x:v>RF-014</x:v>
      </x:c>
      <x:c r="C11" s="2" t="str">
        <x:v>Catálogo público</x:v>
      </x:c>
      <x:c r="D11" s="2" t="str">
        <x:v>src/pages/Catalogo.tsx; product.service.ts</x:v>
      </x:c>
      <x:c r="E11" s="2" t="str">
        <x:v>Verificar que el archivo/servicio implemente: El sistema debe permitir consultar el catálogo de productos desde el portal web.</x:v>
      </x:c>
      <x:c r="F11" s="2" t="str">
        <x:v>Solo deben mostrarse productos activos y disponibles.</x:v>
      </x:c>
      <x:c r="G11" s="2" t="str">
        <x:v>Pendiente de repositorio/código fuente</x:v>
      </x:c>
      <x:c r="H11" s="2" t="str">
        <x:v>Captura del código, commit o archivo fuente relacionado con RF-014</x:v>
      </x:c>
      <x:c r="I11" s="2" t="str">
        <x:v>No se debe marcar como verificado hasta revisar el repositorio o ZIP del proyecto.</x:v>
      </x:c>
    </x:row>
    <x:row r="12">
      <x:c r="A12" s="2" t="str">
        <x:v>RC-011</x:v>
      </x:c>
      <x:c r="B12" s="2" t="str">
        <x:v>RF-015</x:v>
      </x:c>
      <x:c r="C12" s="2" t="str">
        <x:v>Registro cliente</x:v>
      </x:c>
      <x:c r="D12" s="2" t="str">
        <x:v>src/pages/Registro.tsx; customer.controller.ts</x:v>
      </x:c>
      <x:c r="E12" s="2" t="str">
        <x:v>Verificar que el archivo/servicio implemente: El sistema debe permitir registrar clientes con datos de contacto válidos.</x:v>
      </x:c>
      <x:c r="F12" s="2" t="str">
        <x:v>Debe validar correo, DNI y campos obligatorios.</x:v>
      </x:c>
      <x:c r="G12" s="2" t="str">
        <x:v>Pendiente de repositorio/código fuente</x:v>
      </x:c>
      <x:c r="H12" s="2" t="str">
        <x:v>Captura del código, commit o archivo fuente relacionado con RF-015</x:v>
      </x:c>
      <x:c r="I12" s="2" t="str">
        <x:v>No se debe marcar como verificado hasta revisar el repositorio o ZIP del proyecto.</x:v>
      </x:c>
    </x:row>
    <x:row r="13">
      <x:c r="A13" s="2" t="str">
        <x:v>RC-012</x:v>
      </x:c>
      <x:c r="B13" s="2" t="str">
        <x:v>RF-016</x:v>
      </x:c>
      <x:c r="C13" s="2" t="str">
        <x:v>Carrito</x:v>
      </x:c>
      <x:c r="D13" s="2" t="str">
        <x:v>src/pages/Carrito.tsx; cart.service.ts</x:v>
      </x:c>
      <x:c r="E13" s="2" t="str">
        <x:v>Verificar que el archivo/servicio implemente: El sistema debe permitir agregar productos al carrito de compras.</x:v>
      </x:c>
      <x:c r="F13" s="2" t="str">
        <x:v>Debe validar disponibilidad antes de agregar o confirmar.</x:v>
      </x:c>
      <x:c r="G13" s="2" t="str">
        <x:v>Pendiente de repositorio/código fuente</x:v>
      </x:c>
      <x:c r="H13" s="2" t="str">
        <x:v>Captura del código, commit o archivo fuente relacionado con RF-016</x:v>
      </x:c>
      <x:c r="I13" s="2" t="str">
        <x:v>No se debe marcar como verificado hasta revisar el repositorio o ZIP del proyecto.</x:v>
      </x:c>
    </x:row>
    <x:row r="14">
      <x:c r="A14" s="2" t="str">
        <x:v>RC-013</x:v>
      </x:c>
      <x:c r="B14" s="2" t="str">
        <x:v>RF-017</x:v>
      </x:c>
      <x:c r="C14" s="2" t="str">
        <x:v>Checkout</x:v>
      </x:c>
      <x:c r="D14" s="2" t="str">
        <x:v>src/pages/Checkout.tsx; order.controller.ts</x:v>
      </x:c>
      <x:c r="E14" s="2" t="str">
        <x:v>Verificar que el archivo/servicio implemente: El sistema debe permitir registrar pedidos en línea.</x:v>
      </x:c>
      <x:c r="F14" s="2" t="str">
        <x:v>Debe guardar cabecera y detalle del pedido.</x:v>
      </x:c>
      <x:c r="G14" s="2" t="str">
        <x:v>Pendiente de repositorio/código fuente</x:v>
      </x:c>
      <x:c r="H14" s="2" t="str">
        <x:v>Captura del código, commit o archivo fuente relacionado con RF-017</x:v>
      </x:c>
      <x:c r="I14" s="2" t="str">
        <x:v>No se debe marcar como verificado hasta revisar el repositorio o ZIP del proyecto.</x:v>
      </x:c>
    </x:row>
    <x:row r="15">
      <x:c r="A15" s="2" t="str">
        <x:v>RC-014</x:v>
      </x:c>
      <x:c r="B15" s="2" t="str">
        <x:v>RF-018</x:v>
      </x:c>
      <x:c r="C15" s="2" t="str">
        <x:v>Validación checkout</x:v>
      </x:c>
      <x:c r="D15" s="2" t="str">
        <x:v>src/services/stockValidator.ts; order.service.ts</x:v>
      </x:c>
      <x:c r="E15" s="2" t="str">
        <x:v>Verificar que el archivo/servicio implemente: El sistema debe validar disponibilidad de stock antes de confirmar un pedido.</x:v>
      </x:c>
      <x:c r="F15" s="2" t="str">
        <x:v>Debe evitar sobreventa.</x:v>
      </x:c>
      <x:c r="G15" s="2" t="str">
        <x:v>Pendiente de repositorio/código fuente</x:v>
      </x:c>
      <x:c r="H15" s="2" t="str">
        <x:v>Captura del código, commit o archivo fuente relacionado con RF-018</x:v>
      </x:c>
      <x:c r="I15" s="2" t="str">
        <x:v>No se debe marcar como verificado hasta revisar el repositorio o ZIP del proyecto.</x:v>
      </x:c>
    </x:row>
    <x:row r="16">
      <x:c r="A16" s="2" t="str">
        <x:v>RC-015</x:v>
      </x:c>
      <x:c r="B16" s="2" t="str">
        <x:v>RF-019</x:v>
      </x:c>
      <x:c r="C16" s="2" t="str">
        <x:v>Gestión pedidos</x:v>
      </x:c>
      <x:c r="D16" s="2" t="str">
        <x:v>src/pages/admin/Pedidos.tsx; order.controller.ts</x:v>
      </x:c>
      <x:c r="E16" s="2" t="str">
        <x:v>Verificar que el archivo/servicio implemente: El sistema debe permitir actualizar el estado del pedido.</x:v>
      </x:c>
      <x:c r="F16" s="2" t="str">
        <x:v>Debe conservar historial y auditar cambios.</x:v>
      </x:c>
      <x:c r="G16" s="2" t="str">
        <x:v>Pendiente de repositorio/código fuente</x:v>
      </x:c>
      <x:c r="H16" s="2" t="str">
        <x:v>Captura del código, commit o archivo fuente relacionado con RF-019</x:v>
      </x:c>
      <x:c r="I16" s="2" t="str">
        <x:v>No se debe marcar como verificado hasta revisar el repositorio o ZIP del proyecto.</x:v>
      </x:c>
    </x:row>
    <x:row r="17">
      <x:c r="A17" s="2" t="str">
        <x:v>RC-016</x:v>
      </x:c>
      <x:c r="B17" s="2" t="str">
        <x:v>RF-020</x:v>
      </x:c>
      <x:c r="C17" s="2" t="str">
        <x:v>Pagos</x:v>
      </x:c>
      <x:c r="D17" s="2" t="str">
        <x:v>src/pages/Pago.tsx; payment.controller.ts</x:v>
      </x:c>
      <x:c r="E17" s="2" t="str">
        <x:v>Verificar que el archivo/servicio implemente: El sistema debe permitir registrar pagos asociados a ventas o pedidos.</x:v>
      </x:c>
      <x:c r="F17" s="2" t="str">
        <x:v>Debe validar monto, método y operación relacionada.</x:v>
      </x:c>
      <x:c r="G17" s="2" t="str">
        <x:v>Pendiente de repositorio/código fuente</x:v>
      </x:c>
      <x:c r="H17" s="2" t="str">
        <x:v>Captura del código, commit o archivo fuente relacionado con RF-020</x:v>
      </x:c>
      <x:c r="I17" s="2" t="str">
        <x:v>No se debe marcar como verificado hasta revisar el repositorio o ZIP del proyecto.</x:v>
      </x:c>
    </x:row>
    <x:row r="18">
      <x:c r="A18" s="2" t="str">
        <x:v>RC-017</x:v>
      </x:c>
      <x:c r="B18" s="2" t="str">
        <x:v>RF-022</x:v>
      </x:c>
      <x:c r="C18" s="2" t="str">
        <x:v>Nueva venta</x:v>
      </x:c>
      <x:c r="D18" s="2" t="str">
        <x:v>src/pages/admin/Ventas.tsx; sale.controller.ts</x:v>
      </x:c>
      <x:c r="E18" s="2" t="str">
        <x:v>Verificar que el archivo/servicio implemente: El sistema debe permitir registrar ventas presenciales.</x:v>
      </x:c>
      <x:c r="F18" s="2" t="str">
        <x:v>Debe guardar cabecera, detalle y responsable.</x:v>
      </x:c>
      <x:c r="G18" s="2" t="str">
        <x:v>Pendiente de repositorio/código fuente</x:v>
      </x:c>
      <x:c r="H18" s="2" t="str">
        <x:v>Captura del código, commit o archivo fuente relacionado con RF-022</x:v>
      </x:c>
      <x:c r="I18" s="2" t="str">
        <x:v>No se debe marcar como verificado hasta revisar el repositorio o ZIP del proyecto.</x:v>
      </x:c>
    </x:row>
    <x:row r="19">
      <x:c r="A19" s="2" t="str">
        <x:v>RC-018</x:v>
      </x:c>
      <x:c r="B19" s="2" t="str">
        <x:v>RF-023</x:v>
      </x:c>
      <x:c r="C19" s="2" t="str">
        <x:v>Cálculo venta</x:v>
      </x:c>
      <x:c r="D19" s="2" t="str">
        <x:v>src/utils/calcularTotalVenta.ts; sale.service.ts</x:v>
      </x:c>
      <x:c r="E19" s="2" t="str">
        <x:v>Verificar que el archivo/servicio implemente: El sistema debe calcular subtotal, descuentos, total y método de pago en ventas.</x:v>
      </x:c>
      <x:c r="F19" s="2" t="str">
        <x:v>Debe evitar errores de redondeo y descuentos no autorizados.</x:v>
      </x:c>
      <x:c r="G19" s="2" t="str">
        <x:v>Pendiente de repositorio/código fuente</x:v>
      </x:c>
      <x:c r="H19" s="2" t="str">
        <x:v>Captura del código, commit o archivo fuente relacionado con RF-023</x:v>
      </x:c>
      <x:c r="I19" s="2" t="str">
        <x:v>No se debe marcar como verificado hasta revisar el repositorio o ZIP del proyecto.</x:v>
      </x:c>
    </x:row>
    <x:row r="20">
      <x:c r="A20" s="2" t="str">
        <x:v>RC-019</x:v>
      </x:c>
      <x:c r="B20" s="2" t="str">
        <x:v>RF-024</x:v>
      </x:c>
      <x:c r="C20" s="2" t="str">
        <x:v>Descuento stock por venta</x:v>
      </x:c>
      <x:c r="D20" s="2" t="str">
        <x:v>src/services/inventoryMovement.service.ts</x:v>
      </x:c>
      <x:c r="E20" s="2" t="str">
        <x:v>Verificar que el archivo/servicio implemente: El sistema debe descontar automáticamente stock cuando se confirma una venta.</x:v>
      </x:c>
      <x:c r="F20" s="2" t="str">
        <x:v>Debe ejecutarse dentro de transacción lógica para conservar integridad.</x:v>
      </x:c>
      <x:c r="G20" s="2" t="str">
        <x:v>Pendiente de repositorio/código fuente</x:v>
      </x:c>
      <x:c r="H20" s="2" t="str">
        <x:v>Captura del código, commit o archivo fuente relacionado con RF-024</x:v>
      </x:c>
      <x:c r="I20" s="2" t="str">
        <x:v>No se debe marcar como verificado hasta revisar el repositorio o ZIP del proyecto.</x:v>
      </x:c>
    </x:row>
    <x:row r="21">
      <x:c r="A21" s="2" t="str">
        <x:v>RC-020</x:v>
      </x:c>
      <x:c r="B21" s="2" t="str">
        <x:v>RF-029</x:v>
      </x:c>
      <x:c r="C21" s="2" t="str">
        <x:v>Reporte ventas</x:v>
      </x:c>
      <x:c r="D21" s="2" t="str">
        <x:v>src/pages/admin/Reportes.tsx; report.controller.ts</x:v>
      </x:c>
      <x:c r="E21" s="2" t="str">
        <x:v>Verificar que el archivo/servicio implemente: El sistema debe generar reporte de ventas por periodo.</x:v>
      </x:c>
      <x:c r="F21" s="2" t="str">
        <x:v>Debe filtrar correctamente por fecha.</x:v>
      </x:c>
      <x:c r="G21" s="2" t="str">
        <x:v>Pendiente de repositorio/código fuente</x:v>
      </x:c>
      <x:c r="H21" s="2" t="str">
        <x:v>Captura del código, commit o archivo fuente relacionado con RF-029</x:v>
      </x:c>
      <x:c r="I21" s="2" t="str">
        <x:v>No se debe marcar como verificado hasta revisar el repositorio o ZIP del proyecto.</x:v>
      </x:c>
    </x:row>
    <x:row r="22">
      <x:c r="A22" s="2" t="str">
        <x:v>RC-021</x:v>
      </x:c>
      <x:c r="B22" s="2" t="str">
        <x:v>RF-030</x:v>
      </x:c>
      <x:c r="C22" s="2" t="str">
        <x:v>Reporte productos</x:v>
      </x:c>
      <x:c r="D22" s="2" t="str">
        <x:v>src/pages/admin/Reportes.tsx; report.service.ts</x:v>
      </x:c>
      <x:c r="E22" s="2" t="str">
        <x:v>Verificar que el archivo/servicio implemente: El sistema debe generar reporte de productos más vendidos.</x:v>
      </x:c>
      <x:c r="F22" s="2" t="str">
        <x:v>Debe agrupar por producto/SKU.</x:v>
      </x:c>
      <x:c r="G22" s="2" t="str">
        <x:v>Pendiente de repositorio/código fuente</x:v>
      </x:c>
      <x:c r="H22" s="2" t="str">
        <x:v>Captura del código, commit o archivo fuente relacionado con RF-030</x:v>
      </x:c>
      <x:c r="I22" s="2" t="str">
        <x:v>No se debe marcar como verificado hasta revisar el repositorio o ZIP del proyecto.</x:v>
      </x:c>
    </x:row>
    <x:row r="23">
      <x:c r="A23" s="2" t="str">
        <x:v>RC-022</x:v>
      </x:c>
      <x:c r="B23" s="2" t="str">
        <x:v>RF-031</x:v>
      </x:c>
      <x:c r="C23" s="2" t="str">
        <x:v>Reporte stock crítico</x:v>
      </x:c>
      <x:c r="D23" s="2" t="str">
        <x:v>src/pages/admin/Reportes.tsx; inventory.service.ts</x:v>
      </x:c>
      <x:c r="E23" s="2" t="str">
        <x:v>Verificar que el archivo/servicio implemente: El sistema debe generar reporte de stock crítico.</x:v>
      </x:c>
      <x:c r="F23" s="2" t="str">
        <x:v>Debe coincidir con alertas de stock mínimo.</x:v>
      </x:c>
      <x:c r="G23" s="2" t="str">
        <x:v>Pendiente de repositorio/código fuente</x:v>
      </x:c>
      <x:c r="H23" s="2" t="str">
        <x:v>Captura del código, commit o archivo fuente relacionado con RF-031</x:v>
      </x:c>
      <x:c r="I23" s="2" t="str">
        <x:v>No se debe marcar como verificado hasta revisar el repositorio o ZIP del proyecto.</x:v>
      </x:c>
    </x:row>
    <x:row r="24">
      <x:c r="A24" s="2" t="str">
        <x:v>RC-023</x:v>
      </x:c>
      <x:c r="B24" s="2" t="str">
        <x:v>RF-032</x:v>
      </x:c>
      <x:c r="C24" s="2" t="str">
        <x:v>Preparación datos IA</x:v>
      </x:c>
      <x:c r="D24" s="2" t="str">
        <x:v>src/services/aiDataset.service.ts; notebooks/preprocessing.ipynb</x:v>
      </x:c>
      <x:c r="E24" s="2" t="str">
        <x:v>Verificar que el archivo/servicio implemente: El sistema debe preparar datos históricos para el modelo de IA.</x:v>
      </x:c>
      <x:c r="F24" s="2" t="str">
        <x:v>Debe validar completitud, consistencia y rango de variables.</x:v>
      </x:c>
      <x:c r="G24" s="2" t="str">
        <x:v>Pendiente de repositorio/código fuente</x:v>
      </x:c>
      <x:c r="H24" s="2" t="str">
        <x:v>Captura del código, commit o archivo fuente relacionado con RF-032</x:v>
      </x:c>
      <x:c r="I24" s="2" t="str">
        <x:v>No se debe marcar como verificado hasta revisar el repositorio o ZIP del proyecto.</x:v>
      </x:c>
    </x:row>
    <x:row r="25">
      <x:c r="A25" s="2" t="str">
        <x:v>RC-024</x:v>
      </x:c>
      <x:c r="B25" s="2" t="str">
        <x:v>RF-033</x:v>
      </x:c>
      <x:c r="C25" s="2" t="str">
        <x:v>Indicadores riesgo</x:v>
      </x:c>
      <x:c r="D25" s="2" t="str">
        <x:v>src/services/riskIndicators.service.ts</x:v>
      </x:c>
      <x:c r="E25" s="2" t="str">
        <x:v>Verificar que el archivo/servicio implemente: El sistema debe calcular indicadores de ventas, inventario, demanda y margen para el análisis de riesgo.</x:v>
      </x:c>
      <x:c r="F25" s="2" t="str">
        <x:v>Debe documentar fórmula de cada indicador.</x:v>
      </x:c>
      <x:c r="G25" s="2" t="str">
        <x:v>Pendiente de repositorio/código fuente</x:v>
      </x:c>
      <x:c r="H25" s="2" t="str">
        <x:v>Captura del código, commit o archivo fuente relacionado con RF-033</x:v>
      </x:c>
      <x:c r="I25" s="2" t="str">
        <x:v>No se debe marcar como verificado hasta revisar el repositorio o ZIP del proyecto.</x:v>
      </x:c>
    </x:row>
    <x:row r="26">
      <x:c r="A26" s="2" t="str">
        <x:v>RC-025</x:v>
      </x:c>
      <x:c r="B26" s="2" t="str">
        <x:v>RF-034</x:v>
      </x:c>
      <x:c r="C26" s="2" t="str">
        <x:v>Predicción IA</x:v>
      </x:c>
      <x:c r="D26" s="2" t="str">
        <x:v>src/services/modelPrediction.service.ts; modelo_ia.pkl</x:v>
      </x:c>
      <x:c r="E26" s="2" t="str">
        <x:v>Verificar que el archivo/servicio implemente: El sistema debe ejecutar la predicción de demanda o riesgo empresarial mediante el modelo de IA configurado.</x:v>
      </x:c>
      <x:c r="F26" s="2" t="str">
        <x:v>Debe guardar resultado, versión del modelo y variables usadas.</x:v>
      </x:c>
      <x:c r="G26" s="2" t="str">
        <x:v>Pendiente de repositorio/código fuente</x:v>
      </x:c>
      <x:c r="H26" s="2" t="str">
        <x:v>Captura del código, commit o archivo fuente relacionado con RF-034</x:v>
      </x:c>
      <x:c r="I26" s="2" t="str">
        <x:v>No se debe marcar como verificado hasta revisar el repositorio o ZIP del proyecto.</x:v>
      </x:c>
    </x:row>
    <x:row r="27">
      <x:c r="A27" s="2" t="str">
        <x:v>RC-026</x:v>
      </x:c>
      <x:c r="B27" s="2" t="str">
        <x:v>RF-035</x:v>
      </x:c>
      <x:c r="C27" s="2" t="str">
        <x:v>Dashboard riesgo</x:v>
      </x:c>
      <x:c r="D27" s="2" t="str">
        <x:v>src/pages/admin/DashboardIA.tsx</x:v>
      </x:c>
      <x:c r="E27" s="2" t="str">
        <x:v>Verificar que el archivo/servicio implemente: El sistema debe mostrar el nivel de riesgo empresarial en un dashboard gerencial.</x:v>
      </x:c>
      <x:c r="F27" s="2" t="str">
        <x:v>Debe ser entendible para usuario no técnico.</x:v>
      </x:c>
      <x:c r="G27" s="2" t="str">
        <x:v>Pendiente de repositorio/código fuente</x:v>
      </x:c>
      <x:c r="H27" s="2" t="str">
        <x:v>Captura del código, commit o archivo fuente relacionado con RF-035</x:v>
      </x:c>
      <x:c r="I27" s="2" t="str">
        <x:v>No se debe marcar como verificado hasta revisar el repositorio o ZIP del proyecto.</x:v>
      </x:c>
    </x:row>
    <x:row r="28">
      <x:c r="A28" s="2" t="str">
        <x:v>RC-027</x:v>
      </x:c>
      <x:c r="B28" s="2" t="str">
        <x:v>RF-036</x:v>
      </x:c>
      <x:c r="C28" s="2" t="str">
        <x:v>Alertas gerenciales</x:v>
      </x:c>
      <x:c r="D28" s="2" t="str">
        <x:v>src/components/RiskAlert.tsx; notification.service.ts</x:v>
      </x:c>
      <x:c r="E28" s="2" t="str">
        <x:v>Verificar que el archivo/servicio implemente: El sistema debe generar alertas gerenciales por riesgo empresarial o stock crítico.</x:v>
      </x:c>
      <x:c r="F28" s="2" t="str">
        <x:v>Debe diferenciar alerta operativa y alerta analítica.</x:v>
      </x:c>
      <x:c r="G28" s="2" t="str">
        <x:v>Pendiente de repositorio/código fuente</x:v>
      </x:c>
      <x:c r="H28" s="2" t="str">
        <x:v>Captura del código, commit o archivo fuente relacionado con RF-036</x:v>
      </x:c>
      <x:c r="I28" s="2" t="str">
        <x:v>No se debe marcar como verificado hasta revisar el repositorio o ZIP del proyecto.</x:v>
      </x:c>
    </x:row>
    <x:row r="29">
      <x:c r="A29" s="2" t="str">
        <x:v>RC-028</x:v>
      </x:c>
      <x:c r="B29" s="2" t="str">
        <x:v>RF-037</x:v>
      </x:c>
      <x:c r="C29" s="2" t="str">
        <x:v>Auditoría</x:v>
      </x:c>
      <x:c r="D29" s="2" t="str">
        <x:v>src/middleware/audit.middleware.ts; audit.service.ts</x:v>
      </x:c>
      <x:c r="E29" s="2" t="str">
        <x:v>Verificar que el archivo/servicio implemente: El sistema debe registrar auditoría de acciones críticas realizadas por usuarios.</x:v>
      </x:c>
      <x:c r="F29" s="2" t="str">
        <x:v>Debe registrar operaciones críticas sin afectar rendimiento.</x:v>
      </x:c>
      <x:c r="G29" s="2" t="str">
        <x:v>Pendiente de repositorio/código fuente</x:v>
      </x:c>
      <x:c r="H29" s="2" t="str">
        <x:v>Captura del código, commit o archivo fuente relacionado con RF-037</x:v>
      </x:c>
      <x:c r="I29" s="2" t="str">
        <x:v>No se debe marcar como verificado hasta revisar el repositorio o ZIP del proyecto.</x:v>
      </x:c>
    </x:row>
    <x:row r="30">
      <x:c r="A30" s="2" t="str">
        <x:v>RC-029</x:v>
      </x:c>
      <x:c r="B30" s="2" t="str">
        <x:v>RF-039</x:v>
      </x:c>
      <x:c r="C30" s="2" t="str">
        <x:v>Respaldo lógico</x:v>
      </x:c>
      <x:c r="D30" s="2" t="str">
        <x:v>src/services/backup.service.ts</x:v>
      </x:c>
      <x:c r="E30" s="2" t="str">
        <x:v>Verificar que el archivo/servicio implemente: El sistema debe permitir realizar respaldo lógico o exportación de información crítica.</x:v>
      </x:c>
      <x:c r="F30" s="2" t="str">
        <x:v>Debe restringirse solo a administrador.</x:v>
      </x:c>
      <x:c r="G30" s="2" t="str">
        <x:v>Pendiente de repositorio/código fuente</x:v>
      </x:c>
      <x:c r="H30" s="2" t="str">
        <x:v>Captura del código, commit o archivo fuente relacionado con RF-039</x:v>
      </x:c>
      <x:c r="I30" s="2" t="str">
        <x:v>No se debe marcar como verificado hasta revisar el repositorio o ZIP del proyecto.</x:v>
      </x:c>
    </x:row>
    <x:row r="31">
      <x:c r="A31" s="2" t="str">
        <x:v>RC-030</x:v>
      </x:c>
      <x:c r="B31" s="2" t="str">
        <x:v>RF-041</x:v>
      </x:c>
      <x:c r="C31" s="2" t="str">
        <x:v>Validación datos IA</x:v>
      </x:c>
      <x:c r="D31" s="2" t="str">
        <x:v>src/services/dataQuality.service.ts</x:v>
      </x:c>
      <x:c r="E31" s="2" t="str">
        <x:v>Verificar que el archivo/servicio implemente: El sistema debe monitorear calidad de datos para IA antes de ejecutar predicciones.</x:v>
      </x:c>
      <x:c r="F31" s="2" t="str">
        <x:v>Debe bloquear o advertir predicciones con datos insuficientes.</x:v>
      </x:c>
      <x:c r="G31" s="2" t="str">
        <x:v>Pendiente de repositorio/código fuente</x:v>
      </x:c>
      <x:c r="H31" s="2" t="str">
        <x:v>Captura del código, commit o archivo fuente relacionado con RF-041</x:v>
      </x:c>
      <x:c r="I31" s="2" t="str">
        <x:v>No se debe marcar como verificado hasta revisar el repositorio o ZIP del proyecto.</x:v>
      </x:c>
    </x:row>
    <x:row r="32">
      <x:c r="A32" s="2" t="str">
        <x:v>RC-031</x:v>
      </x:c>
      <x:c r="B32" s="2" t="str">
        <x:v>RNF-001</x:v>
      </x:c>
      <x:c r="C32" s="2" t="str">
        <x:v>Seguridad / autenticación</x:v>
      </x:c>
      <x:c r="D32" s="2" t="str">
        <x:v>auth.middleware.ts; routeGuard.ts</x:v>
      </x:c>
      <x:c r="E32" s="2" t="str">
        <x:v>Verificar que el archivo/servicio implemente: El sistema debe autenticar usuarios antes de permitir acceso a módulos internos.</x:v>
      </x:c>
      <x:c r="F32" s="2" t="str">
        <x:v>Debe impedir acceso directo por URL.</x:v>
      </x:c>
      <x:c r="G32" s="2" t="str">
        <x:v>Pendiente de repositorio/código fuente</x:v>
      </x:c>
      <x:c r="H32" s="2" t="str">
        <x:v>Captura del código, commit o archivo fuente relacionado con RNF-001</x:v>
      </x:c>
      <x:c r="I32" s="2" t="str">
        <x:v>No se debe marcar como verificado hasta revisar el repositorio o ZIP del proyecto.</x:v>
      </x:c>
    </x:row>
    <x:row r="33">
      <x:c r="A33" s="2" t="str">
        <x:v>RC-032</x:v>
      </x:c>
      <x:c r="B33" s="2" t="str">
        <x:v>RNF-002</x:v>
      </x:c>
      <x:c r="C33" s="2" t="str">
        <x:v>Control de acceso</x:v>
      </x:c>
      <x:c r="D33" s="2" t="str">
        <x:v>role.middleware.ts; permisos.ts</x:v>
      </x:c>
      <x:c r="E33" s="2" t="str">
        <x:v>Verificar que el archivo/servicio implemente: El sistema debe restringir funcionalidades según rol asignado.</x:v>
      </x:c>
      <x:c r="F33" s="2" t="str">
        <x:v>Debe aplicar control en frontend y backend.</x:v>
      </x:c>
      <x:c r="G33" s="2" t="str">
        <x:v>Pendiente de repositorio/código fuente</x:v>
      </x:c>
      <x:c r="H33" s="2" t="str">
        <x:v>Captura del código, commit o archivo fuente relacionado con RNF-002</x:v>
      </x:c>
      <x:c r="I33" s="2" t="str">
        <x:v>No se debe marcar como verificado hasta revisar el repositorio o ZIP del proyecto.</x:v>
      </x:c>
    </x:row>
    <x:row r="34">
      <x:c r="A34" s="2" t="str">
        <x:v>RC-033</x:v>
      </x:c>
      <x:c r="B34" s="2" t="str">
        <x:v>RNF-003</x:v>
      </x:c>
      <x:c r="C34" s="2" t="str">
        <x:v>Integridad de datos</x:v>
      </x:c>
      <x:c r="D34" s="2" t="str">
        <x:v>sale.service.ts; inventory.service.ts</x:v>
      </x:c>
      <x:c r="E34" s="2" t="str">
        <x:v>Verificar que el archivo/servicio implemente: El sistema debe mantener consistencia entre ventas, detalle de venta e inventario.</x:v>
      </x:c>
      <x:c r="F34" s="2" t="str">
        <x:v>No debe quedar venta sin detalle ni stock sin movimiento.</x:v>
      </x:c>
      <x:c r="G34" s="2" t="str">
        <x:v>Pendiente de repositorio/código fuente</x:v>
      </x:c>
      <x:c r="H34" s="2" t="str">
        <x:v>Captura del código, commit o archivo fuente relacionado con RNF-003</x:v>
      </x:c>
      <x:c r="I34" s="2" t="str">
        <x:v>No se debe marcar como verificado hasta revisar el repositorio o ZIP del proyecto.</x:v>
      </x:c>
    </x:row>
    <x:row r="35">
      <x:c r="A35" s="2" t="str">
        <x:v>RC-034</x:v>
      </x:c>
      <x:c r="B35" s="2" t="str">
        <x:v>RNF-008</x:v>
      </x:c>
      <x:c r="C35" s="2" t="str">
        <x:v>Trazabilidad / auditoría</x:v>
      </x:c>
      <x:c r="D35" s="2" t="str">
        <x:v>audit.middleware.ts; audit.service.ts</x:v>
      </x:c>
      <x:c r="E35" s="2" t="str">
        <x:v>Verificar que el archivo/servicio implemente: Las acciones importantes deben quedar registradas para trazabilidad y control interno.</x:v>
      </x:c>
      <x:c r="F35" s="2" t="str">
        <x:v>Debe incluir usuario, acción, módulo, fecha y detalle.</x:v>
      </x:c>
      <x:c r="G35" s="2" t="str">
        <x:v>Pendiente de repositorio/código fuente</x:v>
      </x:c>
      <x:c r="H35" s="2" t="str">
        <x:v>Captura del código, commit o archivo fuente relacionado con RNF-008</x:v>
      </x:c>
      <x:c r="I35" s="2" t="str">
        <x:v>No se debe marcar como verificado hasta revisar el repositorio o ZIP del proyecto.</x:v>
      </x:c>
    </x:row>
    <x:row r="36">
      <x:c r="A36" s="2" t="str">
        <x:v>RC-035</x:v>
      </x:c>
      <x:c r="B36" s="2" t="str">
        <x:v>RNF-009</x:v>
      </x:c>
      <x:c r="C36" s="2" t="str">
        <x:v>Calidad de datos IA</x:v>
      </x:c>
      <x:c r="D36" s="2" t="str">
        <x:v>dataQuality.service.ts; preprocessing</x:v>
      </x:c>
      <x:c r="E36" s="2" t="str">
        <x:v>Verificar que el archivo/servicio implemente: El modelo IA debe usar datos completos, actualizados y consistentes para generar predicciones.</x:v>
      </x:c>
      <x:c r="F36" s="2" t="str">
        <x:v>Debe documentarse la fuente y limpieza de datos.</x:v>
      </x:c>
      <x:c r="G36" s="2" t="str">
        <x:v>Pendiente de repositorio/código fuente</x:v>
      </x:c>
      <x:c r="H36" s="2" t="str">
        <x:v>Captura del código, commit o archivo fuente relacionado con RNF-009</x:v>
      </x:c>
      <x:c r="I36" s="2" t="str">
        <x:v>No se debe marcar como verificado hasta revisar el repositorio o ZIP del proyecto.</x:v>
      </x:c>
    </x:row>
    <x:row r="37">
      <x:c r="A37" s="2" t="str">
        <x:v>RC-036</x:v>
      </x:c>
      <x:c r="B37" s="2" t="str">
        <x:v>RNF-010</x:v>
      </x:c>
      <x:c r="C37" s="2" t="str">
        <x:v>Interpretabilidad</x:v>
      </x:c>
      <x:c r="D37" s="2" t="str">
        <x:v>DashboardIA.tsx; riskExplanation.ts</x:v>
      </x:c>
      <x:c r="E37" s="2" t="str">
        <x:v>Verificar que el archivo/servicio implemente: El resultado del riesgo debe mostrarse de forma entendible para gerente o administrador.</x:v>
      </x:c>
      <x:c r="F37" s="2" t="str">
        <x:v>El sistema debe apoyar la decisión, no automatizarla sin criterio humano.</x:v>
      </x:c>
      <x:c r="G37" s="2" t="str">
        <x:v>Pendiente de repositorio/código fuente</x:v>
      </x:c>
      <x:c r="H37" s="2" t="str">
        <x:v>Captura del código, commit o archivo fuente relacionado con RNF-010</x:v>
      </x:c>
      <x:c r="I37" s="2" t="str">
        <x:v>No se debe marcar como verificado hasta revisar el repositorio o ZIP del proyecto.</x:v>
      </x:c>
    </x:row>
    <x:row r="38">
      <x:c r="A38" s="2" t="str">
        <x:v>RC-037</x:v>
      </x:c>
      <x:c r="B38" s="2" t="str">
        <x:v>RNF-012</x:v>
      </x:c>
      <x:c r="C38" s="2" t="str">
        <x:v>Respaldo</x:v>
      </x:c>
      <x:c r="D38" s="2" t="str">
        <x:v>backup.service.ts; export.service.ts</x:v>
      </x:c>
      <x:c r="E38" s="2" t="str">
        <x:v>Verificar que el archivo/servicio implemente: La información crítica debe contar con mecanismos de respaldo o exportación.</x:v>
      </x:c>
      <x:c r="F38" s="2" t="str">
        <x:v>Debe restringirse a administrador.</x:v>
      </x:c>
      <x:c r="G38" s="2" t="str">
        <x:v>Pendiente de repositorio/código fuente</x:v>
      </x:c>
      <x:c r="H38" s="2" t="str">
        <x:v>Captura del código, commit o archivo fuente relacionado con RNF-012</x:v>
      </x:c>
      <x:c r="I38" s="2" t="str">
        <x:v>No se debe marcar como verificado hasta revisar el repositorio o ZIP del proyecto.</x:v>
      </x:c>
    </x:row>
    <x:row r="39">
      <x:c r="A39" s="2" t="str">
        <x:v>RC-038</x:v>
      </x:c>
      <x:c r="B39" s="2" t="str">
        <x:v>RNF-013</x:v>
      </x:c>
      <x:c r="C39" s="2" t="str">
        <x:v>Privacidad / seguridad</x:v>
      </x:c>
      <x:c r="D39" s="2" t="str">
        <x:v>auth.middleware.ts; validations</x:v>
      </x:c>
      <x:c r="E39" s="2" t="str">
        <x:v>Verificar que el archivo/servicio implemente: El sistema debe proteger información sensible y evitar exposición no autorizada de datos.</x:v>
      </x:c>
      <x:c r="F39" s="2" t="str">
        <x:v>Debe revisarse también en API, no solo en interfaz.</x:v>
      </x:c>
      <x:c r="G39" s="2" t="str">
        <x:v>Pendiente de repositorio/código fuente</x:v>
      </x:c>
      <x:c r="H39" s="2" t="str">
        <x:v>Captura del código, commit o archivo fuente relacionado con RNF-013</x:v>
      </x:c>
      <x:c r="I39" s="2" t="str">
        <x:v>No se debe marcar como verificado hasta revisar el repositorio o ZIP del proyecto.</x:v>
      </x:c>
    </x:row>
    <x:row r="40">
      <x:c r="A40" s="2" t="str">
        <x:v>RC-039</x:v>
      </x:c>
      <x:c r="B40" s="2" t="str">
        <x:v>RNF-014</x:v>
      </x:c>
      <x:c r="C40" s="2" t="str">
        <x:v>Gobernanza del modelo IA</x:v>
      </x:c>
      <x:c r="D40" s="2" t="str">
        <x:v>modelPrediction.service.ts; model_registry</x:v>
      </x:c>
      <x:c r="E40" s="2" t="str">
        <x:v>Verificar que el archivo/servicio implemente: Las predicciones deben registrar versión del modelo, fecha de ejecución y variables usadas.</x:v>
      </x:c>
      <x:c r="F40" s="2" t="str">
        <x:v>Necesario para reproducibilidad y defensa técnica.</x:v>
      </x:c>
      <x:c r="G40" s="2" t="str">
        <x:v>Pendiente de repositorio/código fuente</x:v>
      </x:c>
      <x:c r="H40" s="2" t="str">
        <x:v>Captura del código, commit o archivo fuente relacionado con RNF-014</x:v>
      </x:c>
      <x:c r="I40" s="2" t="str">
        <x:v>No se debe marcar como verificado hasta revisar el repositorio o ZIP del proyecto.</x:v>
      </x:c>
    </x:row>
  </x:sheetData>
  <x:pageMargins left="0.7" right="0.7" top="0.75" bottom="0.75" header="0.3" footer="0.3"/>
  <x:tableParts count="1">
    <x:tablePart xmlns:r="http://schemas.openxmlformats.org/officeDocument/2006/relationships" r:id="Rc526d209a37e49e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  <x:col min="3" max="3" width="45" hidden="0" customWidth="1"/>
  </x:cols>
  <x:sheetData>
    <x:row r="1">
      <x:c r="A1" s="52" t="str">
        <x:v>Código</x:v>
      </x:c>
      <x:c r="B1" s="52" t="str">
        <x:v>Referencia ISO 690-2</x:v>
      </x:c>
      <x:c r="C1" s="52" t="str">
        <x:v>Uso en la matriz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[01]</x:v>
      </x:c>
      <x:c r="B2" s="2" t="str">
        <x:v>VERHOEF, Peter C.; BROEKHUIZEN, Tjark; BART, Yakov; BHATTACHARYA, Abhi; DONG, Jonathan Q.; FABIAN, Nicolai y HAENLEIN, Michael. Digital transformation: A multidisciplinary reflection and research agenda. Journal of Business Research [en línea]. 2021, vol. 122, pp. 889-901. DOI: 10.1016/j.jbusres.2019.09.022.</x:v>
      </x:c>
      <x:c r="C2" s="2" t="str">
        <x:v>Transformación digital, alcance estratégico y orientación al cliente.</x:v>
      </x:c>
    </x:row>
    <x:row r="3">
      <x:c r="A3" s="2" t="str">
        <x:v>[02]</x:v>
      </x:c>
      <x:c r="B3" s="2" t="str">
        <x:v>SOTO-ACOSTA, Pedro. COVID-19 Pandemic: Shifting Digital Transformation to a High-Speed Gear in SMEs. Information Systems Management [en línea]. 2020, vol. 37, n.º 4, pp. 260-266. DOI: 10.1080/10580530.2020.1814461.</x:v>
      </x:c>
      <x:c r="C3" s="2" t="str">
        <x:v>Digitalización en PYMEs y urgencia de sistemas web.</x:v>
      </x:c>
    </x:row>
    <x:row r="4">
      <x:c r="A4" s="2" t="str">
        <x:v>[05]</x:v>
      </x:c>
      <x:c r="B4" s="2" t="str">
        <x:v>CHATTERJEE, Sheshadri y KUMAR KAR, Arpan. Why do small and medium enterprises use social media marketing and what is the impact: Empirical insights from India. Journal of Business Research [en línea]. 2020, vol. 122, pp. 751-762. DOI: 10.1016/j.jbusres.2019.09.016.</x:v>
      </x:c>
      <x:c r="C4" s="2" t="str">
        <x:v>Adopción digital y presión competitiva en PYMEs.</x:v>
      </x:c>
    </x:row>
    <x:row r="5">
      <x:c r="A5" s="2" t="str">
        <x:v>[06]</x:v>
      </x:c>
      <x:c r="B5" s="2" t="str">
        <x:v>KANNAN, P. K. Digital marketing: A framework, review and research agenda. International Journal of Research in Marketing [en línea]. 2017, vol. 34, n.º 1, pp. 22-45. DOI: 10.1016/j.ijresmar.2016.11.006.</x:v>
      </x:c>
      <x:c r="C5" s="2" t="str">
        <x:v>Catálogo, carrito, checkout, marketing digital y analítica.</x:v>
      </x:c>
    </x:row>
    <x:row r="6">
      <x:c r="A6" s="2" t="str">
        <x:v>[07]</x:v>
      </x:c>
      <x:c r="B6" s="2" t="str">
        <x:v>REINARTZ, Werner; WIEGAND, Nicole y IMSCHLOSS, Monika. The impact of digital transformation on the retailing value chain. International Journal of Research in Marketing [en línea]. 2019, vol. 36, n.º 3, pp. 350-366. DOI: 10.1016/j.ijresmar.2018.12.002.</x:v>
      </x:c>
      <x:c r="C6" s="2" t="str">
        <x:v>Cadena de valor retail: productos, ventas, inventario y pedidos.</x:v>
      </x:c>
    </x:row>
    <x:row r="7">
      <x:c r="A7" s="2" t="str">
        <x:v>[08]</x:v>
      </x:c>
      <x:c r="B7" s="2" t="str">
        <x:v>HAGBERG, Johan; SUNDSTROM, Marcus y EGELS-ZANDEN, Niklas. The digitalization of retailing: An exploratory framework. International Journal of Retail and Distribution Management [en línea]. 2016, vol. 44, n.º 7, pp. 694-712. DOI: 10.1108/IJRDM-09-2014-0138.</x:v>
      </x:c>
      <x:c r="C7" s="2" t="str">
        <x:v>Digitalización de procesos y modelo de negocio retail.</x:v>
      </x:c>
    </x:row>
    <x:row r="8">
      <x:c r="A8" s="2" t="str">
        <x:v>[09]</x:v>
      </x:c>
      <x:c r="B8" s="2" t="str">
        <x:v>DUAN, Yanqing; EDWARDS, John S. y DWIVEDI, Yogesh K. Artificial intelligence for decision making in the era of Big Data: Evolution, challenges and research agenda. International Journal of Information Management [en línea]. 2019, vol. 48, pp. 63-71. DOI: 10.1016/j.ijinfomgt.2019.01.021.</x:v>
      </x:c>
      <x:c r="C8" s="2" t="str">
        <x:v>IA como apoyo a decisiones empresariales.</x:v>
      </x:c>
    </x:row>
    <x:row r="9">
      <x:c r="A9" s="2" t="str">
        <x:v>[11]</x:v>
      </x:c>
      <x:c r="B9" s="2" t="str">
        <x:v>SHRESTHA, Yash Raj; BEN-MENAHEM, Shiko M. y VON KROGH, Georg. Organizational decision-making structures in the age of artificial intelligence. California Management Review [en línea]. 2019, vol. 61, n.º 4, pp. 66-83. DOI: 10.1177/0008125619862137.</x:v>
      </x:c>
      <x:c r="C9" s="2" t="str">
        <x:v>Decisión asistida por IA; el gerente conserva la decisión final.</x:v>
      </x:c>
    </x:row>
    <x:row r="10">
      <x:c r="A10" s="2" t="str">
        <x:v>[12]</x:v>
      </x:c>
      <x:c r="B10" s="2" t="str">
        <x:v>WAMBA, Samuel F.; GUNASEKARAN, Angappa; AKTER, Shahriar; REN, Steven J. F.; DUBEY, Ramesh y CHILDE, Stephen J. Big data analytics and firm performance: Effects of dynamic capabilities. Journal of Business Research [en línea]. 2017, vol. 70, pp. 356-365. DOI: 10.1016/j.jbusres.2016.08.009.</x:v>
      </x:c>
      <x:c r="C10" s="2" t="str">
        <x:v>Analítica de datos y desempeño empresarial.</x:v>
      </x:c>
    </x:row>
    <x:row r="11">
      <x:c r="A11" s="2" t="str">
        <x:v>[13]</x:v>
      </x:c>
      <x:c r="B11" s="2" t="str">
        <x:v>MAKRIDAKIS, Spyros; SPILIOTIS, Evangelos y ASSIMAKOPOULOS, Vassilios. Statistical and Machine Learning forecasting methods: Concerns and ways forward. PLOS ONE [en línea]. 2018, vol. 13, n.º 3, e0194889. DOI: 10.1371/journal.pone.0194889.</x:v>
      </x:c>
      <x:c r="C11" s="2" t="str">
        <x:v>Forecasting y evaluación de modelos con datos limitados.</x:v>
      </x:c>
    </x:row>
    <x:row r="12">
      <x:c r="A12" s="2" t="str">
        <x:v>[14]</x:v>
      </x:c>
      <x:c r="B12" s="2" t="str">
        <x:v>FILDES, Robert; MA, Shari y KOLASSA, Stephan. Retail forecasting: Research and practice. International Journal of Forecasting [en línea]. 2022, vol. 38, n.º 4, pp. 1283-1318. DOI: 10.1016/j.ijforecast.2021.08.013.</x:v>
      </x:c>
      <x:c r="C12" s="2" t="str">
        <x:v>Forecasting retail, variables y métricas de demanda.</x:v>
      </x:c>
    </x:row>
    <x:row r="13">
      <x:c r="A13" s="2" t="str">
        <x:v>[18]</x:v>
      </x:c>
      <x:c r="B13" s="2" t="str">
        <x:v>OZBAYOGLU, Ahmet Murat; GUDELEK, Mehmet Ugur y SEZER, Omer Berat. Deep learning for financial applications: A survey. Applied Soft Computing [en línea]. 2020, vol. 93, 106384. DOI: 10.1016/j.asoc.2020.106384.</x:v>
      </x:c>
      <x:c r="C13" s="2" t="str">
        <x:v>Aplicaciones financieras y riesgo con ML/DL.</x:v>
      </x:c>
    </x:row>
    <x:row r="14">
      <x:c r="A14" s="2" t="str">
        <x:v>[19]</x:v>
      </x:c>
      <x:c r="B14" s="2" t="str">
        <x:v>BARBOZA, Flavio; KIMURA, Herbert y ALTMAN, Edward. Machine learning models and bankruptcy prediction. Expert Systems with Applications [en línea]. 2017, vol. 83, pp. 405-417. DOI: 10.1016/j.eswa.2017.04.006.</x:v>
      </x:c>
      <x:c r="C14" s="2" t="str">
        <x:v>Justificación de modelos ML para clasificación de riesgo.</x:v>
      </x:c>
    </x:row>
    <x:row r="15">
      <x:c r="A15" s="2" t="str">
        <x:v>[21]</x:v>
      </x:c>
      <x:c r="B15" s="2" t="str">
        <x:v>KIM, Min Jae; CHO, Suk Won y RYU, Ilhyung. Corporate default predictions using machine learning: Literature review. Sustainability [en línea]. 2020, vol. 12, n.º 16, 6325. DOI: 10.3390/su12166325.</x:v>
      </x:c>
      <x:c r="C15" s="2" t="str">
        <x:v>Estado del arte de predicción de riesgo/impago empresarial.</x:v>
      </x:c>
    </x:row>
    <x:row r="16">
      <x:c r="A16" s="2" t="str">
        <x:v>[22]</x:v>
      </x:c>
      <x:c r="B16" s="2" t="str">
        <x:v>DU JARDIN, Philippe. Dynamics of firm financial evolution and bankruptcy prediction. Expert Systems with Applications [en línea]. 2017, vol. 75, pp. 25-43. DOI: 10.1016/j.eswa.2017.03.063.</x:v>
      </x:c>
      <x:c r="C16" s="2" t="str">
        <x:v>Carácter dinámico del riesgo y necesidad de actualización periódica.</x:v>
      </x:c>
    </x:row>
    <x:row r="17">
      <x:c r="A17" s="2" t="str">
        <x:v>[35]</x:v>
      </x:c>
      <x:c r="B17" s="2" t="str">
        <x:v>Referencia Q1 de usabilidad / UX incluida en la revisión académica v4. Completar con la referencia exacta del artículo correspondiente si el jurado exige la cita literal en esta matriz.</x:v>
      </x:c>
      <x:c r="C17" s="2" t="str">
        <x:v>Usabilidad e interpretabilidad de interfaz.</x:v>
      </x:c>
    </x:row>
    <x:row r="18">
      <x:c r="A18" s="2" t="str">
        <x:v>[36]</x:v>
      </x:c>
      <x:c r="B18" s="2" t="str">
        <x:v>Referencia Q1 de experiencia de usuario incluida en la revisión académica v4. Completar con la referencia exacta del artículo correspondiente si el jurado exige la cita literal en esta matriz.</x:v>
      </x:c>
      <x:c r="C18" s="2" t="str">
        <x:v>Evaluación de interfaz y satisfacción.</x:v>
      </x:c>
    </x:row>
    <x:row r="19">
      <x:c r="A19" s="2" t="str">
        <x:v>[37]</x:v>
      </x:c>
      <x:c r="B19" s="2" t="str">
        <x:v>Referencia Q1 de ingeniería de software para sistemas basados en IA incluida en la revisión académica v4. Completar con la referencia exacta al integrar la bibliografía final.</x:v>
      </x:c>
      <x:c r="C19" s="2" t="str">
        <x:v>Requisitos, arquitectura, pruebas y calidad en sistemas con IA.</x:v>
      </x:c>
    </x:row>
    <x:row r="20">
      <x:c r="A20" s="2" t="str">
        <x:v>[38]</x:v>
      </x:c>
      <x:c r="B20" s="2" t="str">
        <x:v>Referencia Q1 de arquitectura/microservicios incluida en la revisión académica v4. Completar con referencia exacta según bibliografía final.</x:v>
      </x:c>
      <x:c r="C20" s="2" t="str">
        <x:v>Escalabilidad, mantenibilidad y arquitectura.</x:v>
      </x:c>
    </x:row>
    <x:row r="21">
      <x:c r="A21" s="2" t="str">
        <x:v>[39]</x:v>
      </x:c>
      <x:c r="B21" s="2" t="str">
        <x:v>Referencia Q1 de seguridad/calidad de software incluida en la revisión académica v4. Completar con referencia exacta según bibliografía final.</x:v>
      </x:c>
      <x:c r="C21" s="2" t="str">
        <x:v>Seguridad, integridad, auditoría y atributos de calidad.</x:v>
      </x:c>
    </x:row>
    <x:row r="22">
      <x:c r="A22" s="2" t="str">
        <x:v>[41]</x:v>
      </x:c>
      <x:c r="B22" s="2" t="str">
        <x:v>Referencia Q1 de MLOps/calidad de datos incluida en la revisión académica v4. Completar con referencia exacta según bibliografía final.</x:v>
      </x:c>
      <x:c r="C22" s="2" t="str">
        <x:v>Calidad de datos, monitoreo y mantenimiento del modelo.</x:v>
      </x:c>
    </x:row>
    <x:row r="23">
      <x:c r="A23" s="2" t="str">
        <x:v>[42]</x:v>
      </x:c>
      <x:c r="B23" s="2" t="str">
        <x:v>Referencia Q1 de despliegue de machine learning incluida en la revisión académica v4. Completar con referencia exacta según bibliografía final.</x:v>
      </x:c>
      <x:c r="C23" s="2" t="str">
        <x:v>Trazabilidad y reproducibilidad del modelo IA.</x:v>
      </x:c>
    </x:row>
  </x:sheetData>
  <x:pageMargins left="0.7" right="0.7" top="0.75" bottom="0.75" header="0.3" footer="0.3"/>
  <x:tableParts count="1">
    <x:tablePart xmlns:r="http://schemas.openxmlformats.org/officeDocument/2006/relationships" r:id="Rcd328ea5dd514303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2" t="str">
        <x:v>Categoría</x:v>
      </x:c>
      <x:c r="B1" s="52" t="str">
        <x:v>Valor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2" t="str">
        <x:v>Tipo requisito</x:v>
      </x:c>
      <x:c r="B2" s="2" t="str">
        <x:v>Funcional</x:v>
      </x:c>
    </x:row>
    <x:row r="3">
      <x:c r="A3" s="2" t="str">
        <x:v>Tipo requisito</x:v>
      </x:c>
      <x:c r="B3" s="2" t="str">
        <x:v>No funcional</x:v>
      </x:c>
    </x:row>
    <x:row r="4">
      <x:c r="A4" s="2" t="str">
        <x:v>Prioridad</x:v>
      </x:c>
      <x:c r="B4" s="2" t="str">
        <x:v>Alta</x:v>
      </x:c>
    </x:row>
    <x:row r="5">
      <x:c r="A5" s="2" t="str">
        <x:v>Prioridad</x:v>
      </x:c>
      <x:c r="B5" s="2" t="str">
        <x:v>Media</x:v>
      </x:c>
    </x:row>
    <x:row r="6">
      <x:c r="A6" s="2" t="str">
        <x:v>Prioridad</x:v>
      </x:c>
      <x:c r="B6" s="2" t="str">
        <x:v>Baja</x:v>
      </x:c>
    </x:row>
    <x:row r="7">
      <x:c r="A7" s="2" t="str">
        <x:v>Estado implementación</x:v>
      </x:c>
      <x:c r="B7" s="2" t="str">
        <x:v>Implementado</x:v>
      </x:c>
    </x:row>
    <x:row r="8">
      <x:c r="A8" s="2" t="str">
        <x:v>Estado implementación</x:v>
      </x:c>
      <x:c r="B8" s="2" t="str">
        <x:v>En desarrollo</x:v>
      </x:c>
    </x:row>
    <x:row r="9">
      <x:c r="A9" s="2" t="str">
        <x:v>Estado implementación</x:v>
      </x:c>
      <x:c r="B9" s="2" t="str">
        <x:v>Pendiente</x:v>
      </x:c>
    </x:row>
    <x:row r="10">
      <x:c r="A10" s="2" t="str">
        <x:v>Estado implementación</x:v>
      </x:c>
      <x:c r="B10" s="2" t="str">
        <x:v>Pendiente de código</x:v>
      </x:c>
    </x:row>
    <x:row r="11">
      <x:c r="A11" s="2" t="str">
        <x:v>Estado prueba</x:v>
      </x:c>
      <x:c r="B11" s="2" t="str">
        <x:v>Aprobado</x:v>
      </x:c>
    </x:row>
    <x:row r="12">
      <x:c r="A12" s="2" t="str">
        <x:v>Estado prueba</x:v>
      </x:c>
      <x:c r="B12" s="2" t="str">
        <x:v>Pendiente de evidencia</x:v>
      </x:c>
    </x:row>
    <x:row r="13">
      <x:c r="A13" s="2" t="str">
        <x:v>Estado prueba</x:v>
      </x:c>
      <x:c r="B13" s="2" t="str">
        <x:v>Diseñado</x:v>
      </x:c>
    </x:row>
    <x:row r="14">
      <x:c r="A14" s="2" t="str">
        <x:v>Estado prueba</x:v>
      </x:c>
      <x:c r="B14" s="2" t="str">
        <x:v>Observado</x:v>
      </x:c>
    </x:row>
    <x:row r="15">
      <x:c r="A15" s="2" t="str">
        <x:v>Estado prueba</x:v>
      </x:c>
      <x:c r="B15" s="2" t="str">
        <x:v>No iniciado</x:v>
      </x:c>
    </x:row>
    <x:row r="16">
      <x:c r="A16" s="2" t="str">
        <x:v>Sistematización</x:v>
      </x:c>
      <x:c r="B16" s="2" t="str">
        <x:v>Sí</x:v>
      </x:c>
    </x:row>
    <x:row r="17">
      <x:c r="A17" s="2" t="str">
        <x:v>Sistematización</x:v>
      </x:c>
      <x:c r="B17" s="2" t="str">
        <x:v>Parcial</x:v>
      </x:c>
    </x:row>
    <x:row r="18">
      <x:c r="A18" s="2" t="str">
        <x:v>Sistematización</x:v>
      </x:c>
      <x:c r="B18" s="2" t="str">
        <x:v>No / mejora futura</x:v>
      </x:c>
    </x:row>
    <x:row r="19">
      <x:c r="A19" s="2" t="str">
        <x:v>Riesgo si falla</x:v>
      </x:c>
      <x:c r="B19" s="2" t="str">
        <x:v>Alto</x:v>
      </x:c>
    </x:row>
    <x:row r="20">
      <x:c r="A20" s="2" t="str">
        <x:v>Riesgo si falla</x:v>
      </x:c>
      <x:c r="B20" s="2" t="str">
        <x:v>Medio</x:v>
      </x:c>
    </x:row>
    <x:row r="21">
      <x:c r="A21" s="2" t="str">
        <x:v>Riesgo si falla</x:v>
      </x:c>
      <x:c r="B21" s="2" t="str">
        <x:v>Bajo</x:v>
      </x:c>
    </x:row>
    <x:row r="22">
      <x:c r="A22" s="2" t="str">
        <x:v>Tipo proceso</x:v>
      </x:c>
      <x:c r="B22" s="2" t="str">
        <x:v>Gestión</x:v>
      </x:c>
    </x:row>
    <x:row r="23">
      <x:c r="A23" s="2" t="str">
        <x:v>Tipo proceso</x:v>
      </x:c>
      <x:c r="B23" s="2" t="str">
        <x:v>Operativo</x:v>
      </x:c>
    </x:row>
    <x:row r="24">
      <x:c r="A24" s="2" t="str">
        <x:v>Tipo proceso</x:v>
      </x:c>
      <x:c r="B24" s="2" t="str">
        <x:v>Soporte</x:v>
      </x:c>
    </x:row>
    <x:row r="25">
      <x:c r="A25" s="2" t="str">
        <x:v>Tipo proceso</x:v>
      </x:c>
      <x:c r="B25" s="2" t="str">
        <x:v>Tecnológico</x:v>
      </x:c>
    </x:row>
    <x:row r="26">
      <x:c r="A26" s="2" t="str">
        <x:v>Tipo proceso</x:v>
      </x:c>
      <x:c r="B26" s="2" t="str">
        <x:v>Analítico</x:v>
      </x:c>
    </x:row>
  </x:sheetData>
  <x:pageMargins left="0.7" right="0.7" top="0.75" bottom="0.75" header="0.3" footer="0.3"/>
  <x:tableParts count="1">
    <x:tablePart xmlns:r="http://schemas.openxmlformats.org/officeDocument/2006/relationships" r:id="Ra90a58ceaeb84e80"/>
  </x:tableParts>
</x:worksheet>
</file>